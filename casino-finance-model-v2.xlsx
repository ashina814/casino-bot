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前提・レバー" sheetId="2" state="visible" r:id="rId2"/>
    <sheet name="Gil経済" sheetId="3" state="visible" r:id="rId3"/>
    <sheet name="エテル経済" sheetId="4" state="visible" r:id="rId4"/>
    <sheet name="見通し" sheetId="5" state="visible" r:id="rId5"/>
    <sheet name="ダッシュボード" sheetId="6" state="visible" r:id="rId6"/>
    <sheet name="取得時間" sheetId="7" state="visible" r:id="rId7"/>
    <sheet name="収入設計" sheetId="8" state="visible" r:id="rId8"/>
    <sheet name="定員プラン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&quot;ヶ月&quot;"/>
    <numFmt numFmtId="167" formatCode="0.0&quot;x&quot;"/>
  </numFmts>
  <fonts count="13">
    <font>
      <name val="Calibri"/>
      <family val="2"/>
      <color theme="1"/>
      <sz val="11"/>
      <scheme val="minor"/>
    </font>
    <font>
      <name val="Meiryo"/>
      <b val="1"/>
      <color rgb="001F3864"/>
      <sz val="14"/>
    </font>
    <font>
      <name val="Meiryo"/>
      <color rgb="00000000"/>
      <sz val="10"/>
    </font>
    <font>
      <name val="Meiryo"/>
      <b val="1"/>
      <color rgb="001F3864"/>
      <sz val="10"/>
    </font>
    <font>
      <name val="Meiryo"/>
      <color rgb="000000FF"/>
      <sz val="10"/>
    </font>
    <font>
      <name val="Meiryo"/>
      <i val="1"/>
      <color rgb="00808080"/>
      <sz val="10"/>
    </font>
    <font>
      <name val="Meiryo"/>
      <b val="1"/>
      <color rgb="00FFFFFF"/>
      <sz val="10"/>
    </font>
    <font>
      <name val="Meiryo"/>
      <color rgb="00808080"/>
      <sz val="9"/>
    </font>
    <font>
      <name val="Meiryo"/>
      <b val="1"/>
      <color rgb="00000000"/>
      <sz val="10"/>
    </font>
    <font>
      <name val="Meiryo"/>
      <color rgb="00008000"/>
      <sz val="10"/>
    </font>
    <font>
      <name val="Meiryo"/>
      <i val="1"/>
      <color rgb="00000000"/>
      <sz val="10"/>
    </font>
    <font>
      <name val="Meiryo"/>
      <b val="1"/>
      <i val="1"/>
      <color rgb="00000000"/>
      <sz val="10"/>
    </font>
    <font>
      <name val="Meiryo"/>
      <b val="1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4" fillId="0" borderId="1" pivotButton="0" quotePrefix="0" xfId="0"/>
    <xf numFmtId="164" fontId="4" fillId="2" borderId="1" pivotButton="0" quotePrefix="0" xfId="0"/>
    <xf numFmtId="164" fontId="2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164" fontId="8" fillId="3" borderId="0" pivotButton="0" quotePrefix="0" xfId="0"/>
    <xf numFmtId="164" fontId="4" fillId="0" borderId="0" pivotButton="0" quotePrefix="0" xfId="0"/>
    <xf numFmtId="0" fontId="7" fillId="0" borderId="0" pivotButton="0" quotePrefix="0" xfId="0"/>
    <xf numFmtId="165" fontId="4" fillId="0" borderId="0" pivotButton="0" quotePrefix="0" xfId="0"/>
    <xf numFmtId="164" fontId="4" fillId="2" borderId="0" pivotButton="0" quotePrefix="0" xfId="0"/>
    <xf numFmtId="3" fontId="4" fillId="0" borderId="0" pivotButton="0" quotePrefix="0" xfId="0"/>
    <xf numFmtId="164" fontId="9" fillId="0" borderId="0" pivotButton="0" quotePrefix="0" xfId="0"/>
    <xf numFmtId="0" fontId="8" fillId="3" borderId="0" pivotButton="0" quotePrefix="0" xfId="0"/>
    <xf numFmtId="0" fontId="8" fillId="5" borderId="0" pivotButton="0" quotePrefix="0" xfId="0"/>
    <xf numFmtId="164" fontId="8" fillId="5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4" fontId="2" fillId="0" borderId="0" pivotButton="0" quotePrefix="0" xfId="0"/>
    <xf numFmtId="0" fontId="7" fillId="2" borderId="0" pivotButton="0" quotePrefix="0" xfId="0"/>
    <xf numFmtId="0" fontId="10" fillId="0" borderId="0" pivotButton="0" quotePrefix="0" xfId="0"/>
    <xf numFmtId="0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1" fillId="0" borderId="0" pivotButton="0" quotePrefix="0" xfId="0"/>
    <xf numFmtId="164" fontId="12" fillId="6" borderId="0" pivotButton="0" quotePrefix="0" xfId="0"/>
    <xf numFmtId="0" fontId="9" fillId="0" borderId="1" pivotButton="0" quotePrefix="0" xfId="0"/>
    <xf numFmtId="166" fontId="2" fillId="0" borderId="1" pivotButton="0" quotePrefix="0" xfId="0"/>
    <xf numFmtId="167" fontId="10" fillId="0" borderId="0" pivotButton="0" quotePrefix="0" xfId="0"/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696B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</cols>
  <sheetData>
    <row r="2">
      <c r="B2" s="1" t="inlineStr">
        <is>
          <t>星約の賭場 — 二通貨経済 財務モデル（骨格 v0.1）</t>
        </is>
      </c>
    </row>
    <row r="4">
      <c r="B4" s="2" t="inlineStr">
        <is>
          <t>目的：第一通貨 Gil と 第二通貨 エテル(◈) の流入/シンクが横断で釣り合うかを見て、</t>
        </is>
      </c>
    </row>
    <row r="5">
      <c r="B5" s="2" t="inlineStr">
        <is>
          <t xml:space="preserve">　　　給与・ショップ価格・為替レートを“設計・最適化”するための盤面。</t>
        </is>
      </c>
    </row>
    <row r="7">
      <c r="B7" s="3" t="inlineStr">
        <is>
          <t>■ 使い方</t>
        </is>
      </c>
    </row>
    <row r="8">
      <c r="B8" s="2" t="inlineStr">
        <is>
          <t xml:space="preserve">　1. 「前提・レバー」シートの青字・黄色セルを埋める/弄る（人数・価格・レート等）。</t>
        </is>
      </c>
    </row>
    <row r="9">
      <c r="B9" s="2" t="inlineStr">
        <is>
          <t xml:space="preserve">　2. 「Gil経済」「エテル経済」が月次の mint/sink を自動計算。</t>
        </is>
      </c>
    </row>
    <row r="10">
      <c r="B10" s="2" t="inlineStr">
        <is>
          <t xml:space="preserve">　3. 「見通し」が12ヶ月先の供給推移、「ダッシュボード」が要点を表示。</t>
        </is>
      </c>
    </row>
    <row r="12">
      <c r="B12" s="3" t="inlineStr">
        <is>
          <t>■ 色の意味</t>
        </is>
      </c>
    </row>
    <row r="13">
      <c r="B13" s="4" t="inlineStr">
        <is>
          <t xml:space="preserve">　青字 = 手で入れる入力値（シナリオで変える）</t>
        </is>
      </c>
    </row>
    <row r="14">
      <c r="B14" s="2" t="inlineStr">
        <is>
          <t xml:space="preserve">　黒字 = 計算式　／　緑字 = 他シート参照</t>
        </is>
      </c>
      <c r="D14" t="inlineStr"/>
    </row>
    <row r="15">
      <c r="B15" s="5" t="inlineStr">
        <is>
          <t xml:space="preserve">　黄色セル = 要差し替え（Gill側に依頼 or 未定の値）</t>
        </is>
      </c>
    </row>
    <row r="17">
      <c r="B17" s="3" t="inlineStr">
        <is>
          <t>■ データの出どころ（役割分担）</t>
        </is>
      </c>
    </row>
    <row r="18">
      <c r="B18" s="2" t="inlineStr">
        <is>
          <t xml:space="preserve">　エテル経済の実績 → うちのBotがスナップショット抽出</t>
        </is>
      </c>
    </row>
    <row r="19">
      <c r="B19" s="2" t="inlineStr">
        <is>
          <t xml:space="preserve">　Gil経済の実績   → Gill側Botがスナップショット提供（要依頼）</t>
        </is>
      </c>
    </row>
    <row r="20">
      <c r="B20" s="2" t="inlineStr">
        <is>
          <t xml:space="preserve">　値段/レートの決定 → 俺ら（経理課）＝このモデルで判断</t>
        </is>
      </c>
    </row>
    <row r="22">
      <c r="B22" s="3" t="inlineStr">
        <is>
          <t>■ 主要レバー（このモデルで我々が動かす）</t>
        </is>
      </c>
    </row>
    <row r="23">
      <c r="B23" s="2" t="inlineStr">
        <is>
          <t xml:space="preserve">　① 為替レート（Gil:エテル）　② 還光率（現状20%）</t>
        </is>
      </c>
    </row>
    <row r="24">
      <c r="B24" s="2" t="inlineStr">
        <is>
          <t xml:space="preserve">　③ ショップ価格（Gilシンク）　④ 福分け・ハウスエッジ等カジノ内パラメータ</t>
        </is>
      </c>
    </row>
    <row r="26">
      <c r="B26" s="2" t="inlineStr">
        <is>
          <t>作成: 経理課 / 2026-06　｜　給与表 出典: サーバー「給与一覧」2026-05-28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前提・レバー（入力シート）</t>
        </is>
      </c>
    </row>
    <row r="2">
      <c r="A2" s="6" t="inlineStr">
        <is>
          <t>青字=入力 / 黄色=要差し替え。月額 = 単価 × 人数(件数/量)。</t>
        </is>
      </c>
    </row>
    <row r="4">
      <c r="A4" s="7" t="inlineStr">
        <is>
          <t>Gil 流入①：給与（階級ロール・1人1つ／2週ごとに評価で昇降＝平均分布）</t>
        </is>
      </c>
      <c r="B4" s="8" t="n"/>
      <c r="C4" s="8" t="n"/>
      <c r="D4" s="8" t="n"/>
      <c r="E4" s="8" t="n"/>
      <c r="F4" s="8" t="n"/>
    </row>
    <row r="5">
      <c r="A5" s="9" t="inlineStr">
        <is>
          <t>区分</t>
        </is>
      </c>
      <c r="B5" s="9" t="inlineStr">
        <is>
          <t>項目</t>
        </is>
      </c>
      <c r="C5" s="9" t="inlineStr">
        <is>
          <t>単価/給与</t>
        </is>
      </c>
      <c r="D5" s="9" t="inlineStr">
        <is>
          <t>人数/件数/量</t>
        </is>
      </c>
      <c r="E5" s="9" t="inlineStr">
        <is>
          <t>月額</t>
        </is>
      </c>
      <c r="F5" s="9" t="inlineStr">
        <is>
          <t>備考・データ源</t>
        </is>
      </c>
    </row>
    <row r="6">
      <c r="A6" s="10" t="inlineStr">
        <is>
          <t>階級</t>
        </is>
      </c>
      <c r="B6" s="10" t="inlineStr">
        <is>
          <t>星約者</t>
        </is>
      </c>
      <c r="C6" s="11" t="n">
        <v>50000</v>
      </c>
      <c r="D6" s="12" t="n">
        <v>10</v>
      </c>
      <c r="E6" s="13">
        <f>C6*D6</f>
        <v/>
      </c>
      <c r="F6" s="14" t="inlineStr">
        <is>
          <t>現行維持。人数=2週変動の平均</t>
        </is>
      </c>
    </row>
    <row r="7">
      <c r="A7" s="10" t="inlineStr">
        <is>
          <t>階級</t>
        </is>
      </c>
      <c r="B7" s="10" t="inlineStr">
        <is>
          <t>巡星者</t>
        </is>
      </c>
      <c r="C7" s="11" t="n">
        <v>30000</v>
      </c>
      <c r="D7" s="12" t="n">
        <v>30</v>
      </c>
      <c r="E7" s="13">
        <f>C7*D7</f>
        <v/>
      </c>
      <c r="F7" s="14" t="inlineStr">
        <is>
          <t>★主層。人数=2週変動の平均</t>
        </is>
      </c>
    </row>
    <row r="8">
      <c r="A8" s="10" t="inlineStr">
        <is>
          <t>階級</t>
        </is>
      </c>
      <c r="B8" s="10" t="inlineStr">
        <is>
          <t>堕星者</t>
        </is>
      </c>
      <c r="C8" s="11" t="n">
        <v>20000</v>
      </c>
      <c r="D8" s="12" t="n">
        <v>8</v>
      </c>
      <c r="E8" s="13">
        <f>C8*D8</f>
        <v/>
      </c>
      <c r="F8" s="14" t="inlineStr">
        <is>
          <t>現行維持。人数=平均</t>
        </is>
      </c>
    </row>
    <row r="9">
      <c r="A9" s="10" t="inlineStr">
        <is>
          <t>階級</t>
        </is>
      </c>
      <c r="B9" s="10" t="inlineStr">
        <is>
          <t>背律者</t>
        </is>
      </c>
      <c r="C9" s="11" t="n">
        <v>0</v>
      </c>
      <c r="D9" s="12" t="n">
        <v>3</v>
      </c>
      <c r="E9" s="13">
        <f>C9*D9</f>
        <v/>
      </c>
      <c r="F9" s="14" t="inlineStr">
        <is>
          <t>罰則(最下位)0。降格先=自動mint減</t>
        </is>
      </c>
    </row>
    <row r="10">
      <c r="B10" s="15" t="inlineStr">
        <is>
          <t>小計（給与_階級）</t>
        </is>
      </c>
      <c r="E10" s="16">
        <f>SUM(E6:E9)</f>
        <v/>
      </c>
    </row>
    <row r="12">
      <c r="A12" s="7" t="inlineStr">
        <is>
          <t>Gil 流入②：給与（役職ロール・重複可・固定分のみ）</t>
        </is>
      </c>
      <c r="B12" s="8" t="n"/>
      <c r="C12" s="8" t="n"/>
      <c r="D12" s="8" t="n"/>
      <c r="E12" s="8" t="n"/>
      <c r="F12" s="8" t="n"/>
    </row>
    <row r="13">
      <c r="A13" s="9" t="inlineStr">
        <is>
          <t>区分</t>
        </is>
      </c>
      <c r="B13" s="9" t="inlineStr">
        <is>
          <t>項目</t>
        </is>
      </c>
      <c r="C13" s="9" t="inlineStr">
        <is>
          <t>単価/給与</t>
        </is>
      </c>
      <c r="D13" s="9" t="inlineStr">
        <is>
          <t>人数/件数/量</t>
        </is>
      </c>
      <c r="E13" s="9" t="inlineStr">
        <is>
          <t>月額</t>
        </is>
      </c>
      <c r="F13" s="9" t="inlineStr">
        <is>
          <t>備考・データ源</t>
        </is>
      </c>
    </row>
    <row r="14">
      <c r="A14" s="10" t="inlineStr">
        <is>
          <t>役職</t>
        </is>
      </c>
      <c r="B14" s="10" t="inlineStr">
        <is>
          <t>モーセの十戒</t>
        </is>
      </c>
      <c r="C14" s="11" t="n">
        <v>150000</v>
      </c>
      <c r="D14" s="12" t="n">
        <v>1</v>
      </c>
      <c r="E14" s="13">
        <f>C14*D14</f>
        <v/>
      </c>
      <c r="F14" s="14" t="inlineStr">
        <is>
          <t>固定</t>
        </is>
      </c>
    </row>
    <row r="15">
      <c r="A15" s="10" t="inlineStr">
        <is>
          <t>役職</t>
        </is>
      </c>
      <c r="B15" s="10" t="inlineStr">
        <is>
          <t>天銀官</t>
        </is>
      </c>
      <c r="C15" s="11" t="n">
        <v>70000</v>
      </c>
      <c r="D15" s="12" t="n">
        <v>1</v>
      </c>
      <c r="E15" s="13">
        <f>C15*D15</f>
        <v/>
      </c>
      <c r="F15" s="14" t="inlineStr">
        <is>
          <t>固定</t>
        </is>
      </c>
    </row>
    <row r="16">
      <c r="A16" s="10" t="inlineStr">
        <is>
          <t>優遇</t>
        </is>
      </c>
      <c r="B16" s="10" t="inlineStr">
        <is>
          <t>星導官</t>
        </is>
      </c>
      <c r="C16" s="11" t="n">
        <v>0</v>
      </c>
      <c r="D16" s="12" t="n">
        <v>6</v>
      </c>
      <c r="E16" s="13">
        <f>C16*D16</f>
        <v/>
      </c>
      <c r="F16" s="14" t="inlineStr">
        <is>
          <t>完全歩合(基本給0)。理想6人=統括1+従者3-5+見習0-2・各上限12万</t>
        </is>
      </c>
    </row>
    <row r="17">
      <c r="A17" s="10" t="inlineStr">
        <is>
          <t>優遇</t>
        </is>
      </c>
      <c r="B17" s="10" t="inlineStr">
        <is>
          <t>審星官・特級</t>
        </is>
      </c>
      <c r="C17" s="11" t="n">
        <v>90000</v>
      </c>
      <c r="D17" s="12" t="n">
        <v>1</v>
      </c>
      <c r="E17" s="13">
        <f>C17*D17</f>
        <v/>
      </c>
      <c r="F17" s="14" t="inlineStr">
        <is>
          <t>顔役優遇:80000→90000 ＋評価歩合</t>
        </is>
      </c>
    </row>
    <row r="18">
      <c r="A18" s="10" t="inlineStr">
        <is>
          <t>優遇</t>
        </is>
      </c>
      <c r="B18" s="10" t="inlineStr">
        <is>
          <t>審星官・Ⅰ級</t>
        </is>
      </c>
      <c r="C18" s="11" t="n">
        <v>60000</v>
      </c>
      <c r="D18" s="12" t="n">
        <v>1</v>
      </c>
      <c r="E18" s="13">
        <f>C18*D18</f>
        <v/>
      </c>
      <c r="F18" s="14" t="inlineStr">
        <is>
          <t>顔役優遇:50000→60000</t>
        </is>
      </c>
    </row>
    <row r="19">
      <c r="A19" s="10" t="inlineStr">
        <is>
          <t>優遇</t>
        </is>
      </c>
      <c r="B19" s="10" t="inlineStr">
        <is>
          <t>審星官・Ⅱ級</t>
        </is>
      </c>
      <c r="C19" s="11" t="n">
        <v>40000</v>
      </c>
      <c r="D19" s="12" t="n">
        <v>2</v>
      </c>
      <c r="E19" s="13">
        <f>C19*D19</f>
        <v/>
      </c>
      <c r="F19" s="14" t="inlineStr">
        <is>
          <t>顔役優遇:30000→40000</t>
        </is>
      </c>
    </row>
    <row r="20">
      <c r="A20" s="10" t="inlineStr">
        <is>
          <t>優遇</t>
        </is>
      </c>
      <c r="B20" s="10" t="inlineStr">
        <is>
          <t>審星官・Ⅲ級</t>
        </is>
      </c>
      <c r="C20" s="11" t="n">
        <v>25000</v>
      </c>
      <c r="D20" s="12" t="n">
        <v>2</v>
      </c>
      <c r="E20" s="13">
        <f>C20*D20</f>
        <v/>
      </c>
      <c r="F20" s="14" t="inlineStr">
        <is>
          <t>顔役優遇:20000→25000</t>
        </is>
      </c>
    </row>
    <row r="21">
      <c r="A21" s="10" t="inlineStr">
        <is>
          <t>優遇</t>
        </is>
      </c>
      <c r="B21" s="10" t="inlineStr">
        <is>
          <t>審星官・見習い</t>
        </is>
      </c>
      <c r="C21" s="11" t="n">
        <v>15000</v>
      </c>
      <c r="D21" s="12" t="n">
        <v>3</v>
      </c>
      <c r="E21" s="13">
        <f>C21*D21</f>
        <v/>
      </c>
      <c r="F21" s="14" t="inlineStr">
        <is>
          <t>顔役優遇:10000→15000</t>
        </is>
      </c>
    </row>
    <row r="22">
      <c r="A22" s="10" t="inlineStr">
        <is>
          <t>役職</t>
        </is>
      </c>
      <c r="B22" s="10" t="inlineStr">
        <is>
          <t>星祭官</t>
        </is>
      </c>
      <c r="C22" s="11" t="n">
        <v>50000</v>
      </c>
      <c r="D22" s="12" t="n">
        <v>1</v>
      </c>
      <c r="E22" s="13">
        <f>C22*D22</f>
        <v/>
      </c>
      <c r="F22" s="14" t="inlineStr">
        <is>
          <t>固定</t>
        </is>
      </c>
    </row>
    <row r="23">
      <c r="A23" s="10" t="inlineStr">
        <is>
          <t>役職</t>
        </is>
      </c>
      <c r="B23" s="10" t="inlineStr">
        <is>
          <t>印章官</t>
        </is>
      </c>
      <c r="C23" s="11" t="n">
        <v>50000</v>
      </c>
      <c r="D23" s="12" t="n">
        <v>1</v>
      </c>
      <c r="E23" s="13">
        <f>C23*D23</f>
        <v/>
      </c>
      <c r="F23" s="14" t="inlineStr">
        <is>
          <t>＋個人依頼＋鯖スタンプ×10000</t>
        </is>
      </c>
    </row>
    <row r="24">
      <c r="A24" s="10" t="inlineStr">
        <is>
          <t>役職</t>
        </is>
      </c>
      <c r="B24" s="10" t="inlineStr">
        <is>
          <t>星商官</t>
        </is>
      </c>
      <c r="C24" s="11" t="n">
        <v>50000</v>
      </c>
      <c r="D24" s="12" t="n">
        <v>1</v>
      </c>
      <c r="E24" s="13">
        <f>C24*D24</f>
        <v/>
      </c>
      <c r="F24" s="14" t="inlineStr">
        <is>
          <t>固定</t>
        </is>
      </c>
    </row>
    <row r="25">
      <c r="A25" s="10" t="inlineStr">
        <is>
          <t>役職</t>
        </is>
      </c>
      <c r="B25" s="10" t="inlineStr">
        <is>
          <t>幻戯官</t>
        </is>
      </c>
      <c r="C25" s="11" t="n">
        <v>50000</v>
      </c>
      <c r="D25" s="12" t="n">
        <v>1</v>
      </c>
      <c r="E25" s="13">
        <f>C25*D25</f>
        <v/>
      </c>
      <c r="F25" s="14" t="inlineStr">
        <is>
          <t>固定</t>
        </is>
      </c>
    </row>
    <row r="26">
      <c r="A26" s="10" t="inlineStr">
        <is>
          <t>役職</t>
        </is>
      </c>
      <c r="B26" s="10" t="inlineStr">
        <is>
          <t>失星官</t>
        </is>
      </c>
      <c r="C26" s="11" t="n">
        <v>30000</v>
      </c>
      <c r="D26" s="12" t="n">
        <v>1</v>
      </c>
      <c r="E26" s="13">
        <f>C26*D26</f>
        <v/>
      </c>
      <c r="F26" s="14" t="inlineStr">
        <is>
          <t>固定</t>
        </is>
      </c>
    </row>
    <row r="27">
      <c r="A27" s="10" t="inlineStr">
        <is>
          <t>役職</t>
        </is>
      </c>
      <c r="B27" s="10" t="inlineStr">
        <is>
          <t>贖罪官</t>
        </is>
      </c>
      <c r="C27" s="11" t="n">
        <v>30000</v>
      </c>
      <c r="D27" s="12" t="n">
        <v>1</v>
      </c>
      <c r="E27" s="13">
        <f>C27*D27</f>
        <v/>
      </c>
      <c r="F27" s="14" t="inlineStr">
        <is>
          <t>固定</t>
        </is>
      </c>
    </row>
    <row r="28">
      <c r="A28" s="10" t="inlineStr">
        <is>
          <t>役職</t>
        </is>
      </c>
      <c r="B28" s="10" t="inlineStr">
        <is>
          <t>星賭官</t>
        </is>
      </c>
      <c r="C28" s="11" t="n">
        <v>20000</v>
      </c>
      <c r="D28" s="12" t="n">
        <v>1</v>
      </c>
      <c r="E28" s="13">
        <f>C28*D28</f>
        <v/>
      </c>
      <c r="F28" s="14" t="inlineStr">
        <is>
          <t>＋勝ち×500(変動別枠)</t>
        </is>
      </c>
    </row>
    <row r="29">
      <c r="A29" s="10" t="inlineStr">
        <is>
          <t>役職</t>
        </is>
      </c>
      <c r="B29" s="10" t="inlineStr">
        <is>
          <t>18禁</t>
        </is>
      </c>
      <c r="C29" s="12" t="n">
        <v>0</v>
      </c>
      <c r="D29" s="12" t="n">
        <v>0</v>
      </c>
      <c r="E29" s="13">
        <f>C29*D29</f>
        <v/>
      </c>
      <c r="F29" s="14" t="inlineStr">
        <is>
          <t>完全依頼制(変動)</t>
        </is>
      </c>
    </row>
    <row r="30">
      <c r="B30" s="15" t="inlineStr">
        <is>
          <t>小計（給与_役職）</t>
        </is>
      </c>
      <c r="E30" s="16">
        <f>SUM(E14:E29)</f>
        <v/>
      </c>
    </row>
    <row r="32">
      <c r="A32" s="7" t="inlineStr">
        <is>
          <t>Gil 流入③：給与（運営・Secret／含めると経済は健全側）</t>
        </is>
      </c>
      <c r="B32" s="8" t="n"/>
      <c r="C32" s="8" t="n"/>
      <c r="D32" s="8" t="n"/>
      <c r="E32" s="8" t="n"/>
      <c r="F32" s="8" t="n"/>
    </row>
    <row r="33">
      <c r="A33" s="9" t="inlineStr">
        <is>
          <t>区分</t>
        </is>
      </c>
      <c r="B33" s="9" t="inlineStr">
        <is>
          <t>項目</t>
        </is>
      </c>
      <c r="C33" s="9" t="inlineStr">
        <is>
          <t>単価/給与</t>
        </is>
      </c>
      <c r="D33" s="9" t="inlineStr">
        <is>
          <t>人数/件数/量</t>
        </is>
      </c>
      <c r="E33" s="9" t="inlineStr">
        <is>
          <t>月額</t>
        </is>
      </c>
      <c r="F33" s="9" t="inlineStr">
        <is>
          <t>備考・データ源</t>
        </is>
      </c>
    </row>
    <row r="34">
      <c r="A34" s="10" t="inlineStr">
        <is>
          <t>運営</t>
        </is>
      </c>
      <c r="B34" s="10" t="inlineStr">
        <is>
          <t>原初星</t>
        </is>
      </c>
      <c r="C34" s="12" t="n">
        <v>0</v>
      </c>
      <c r="D34" s="12" t="n">
        <v>1</v>
      </c>
      <c r="E34" s="13">
        <f>C34*D34</f>
        <v/>
      </c>
      <c r="F34" s="14" t="inlineStr">
        <is>
          <t>Secret＝要Gill</t>
        </is>
      </c>
    </row>
    <row r="35">
      <c r="A35" s="10" t="inlineStr">
        <is>
          <t>運営</t>
        </is>
      </c>
      <c r="B35" s="10" t="inlineStr">
        <is>
          <t>七星</t>
        </is>
      </c>
      <c r="C35" s="12" t="n">
        <v>0</v>
      </c>
      <c r="D35" s="12" t="n">
        <v>1</v>
      </c>
      <c r="E35" s="13">
        <f>C35*D35</f>
        <v/>
      </c>
      <c r="F35" s="14" t="inlineStr">
        <is>
          <t>Secret＝要Gill</t>
        </is>
      </c>
    </row>
    <row r="36">
      <c r="A36" s="10" t="inlineStr">
        <is>
          <t>運営</t>
        </is>
      </c>
      <c r="B36" s="10" t="inlineStr">
        <is>
          <t>叛逆者</t>
        </is>
      </c>
      <c r="C36" s="12" t="n">
        <v>0</v>
      </c>
      <c r="D36" s="12" t="n">
        <v>1</v>
      </c>
      <c r="E36" s="13">
        <f>C36*D36</f>
        <v/>
      </c>
      <c r="F36" s="14" t="inlineStr">
        <is>
          <t>Secret＝要Gill</t>
        </is>
      </c>
    </row>
    <row r="37">
      <c r="A37" s="10" t="inlineStr">
        <is>
          <t>運営</t>
        </is>
      </c>
      <c r="B37" s="10" t="inlineStr">
        <is>
          <t>執行官</t>
        </is>
      </c>
      <c r="C37" s="12" t="n">
        <v>0</v>
      </c>
      <c r="D37" s="12" t="n">
        <v>1</v>
      </c>
      <c r="E37" s="13">
        <f>C37*D37</f>
        <v/>
      </c>
      <c r="F37" s="14" t="inlineStr">
        <is>
          <t>Secret＝要Gill</t>
        </is>
      </c>
    </row>
    <row r="38">
      <c r="B38" s="15" t="inlineStr">
        <is>
          <t>小計（給与_運営）</t>
        </is>
      </c>
      <c r="E38" s="16">
        <f>SUM(E34:E37)</f>
        <v/>
      </c>
    </row>
    <row r="40">
      <c r="A40" s="7" t="inlineStr">
        <is>
          <t>Gil 流入④：給与以外（Gill運用・額/頻度は要Gill or 我々が最適化）</t>
        </is>
      </c>
      <c r="B40" s="8" t="n"/>
      <c r="C40" s="8" t="n"/>
      <c r="D40" s="8" t="n"/>
      <c r="E40" s="8" t="n"/>
      <c r="F40" s="8" t="n"/>
    </row>
    <row r="41">
      <c r="A41" s="9" t="inlineStr">
        <is>
          <t>区分</t>
        </is>
      </c>
      <c r="B41" s="9" t="inlineStr">
        <is>
          <t>項目</t>
        </is>
      </c>
      <c r="C41" s="9" t="inlineStr">
        <is>
          <t>単価/給与</t>
        </is>
      </c>
      <c r="D41" s="9" t="inlineStr">
        <is>
          <t>人数/件数/量</t>
        </is>
      </c>
      <c r="E41" s="9" t="inlineStr">
        <is>
          <t>月額</t>
        </is>
      </c>
      <c r="F41" s="9" t="inlineStr">
        <is>
          <t>備考・データ源</t>
        </is>
      </c>
    </row>
    <row r="42">
      <c r="A42" s="10" t="inlineStr">
        <is>
          <t>流入</t>
        </is>
      </c>
      <c r="B42" s="10" t="inlineStr">
        <is>
          <t>日記報酬</t>
        </is>
      </c>
      <c r="C42" s="12" t="n">
        <v>5000</v>
      </c>
      <c r="D42" s="12" t="n">
        <v>20</v>
      </c>
      <c r="E42" s="13">
        <f>C42*D42</f>
        <v/>
      </c>
      <c r="F42" s="14" t="inlineStr">
        <is>
          <t>刻:30日5万/100日10万/200日15万/300日20万/365日30万+ロール</t>
        </is>
      </c>
    </row>
    <row r="43">
      <c r="A43" s="10" t="inlineStr">
        <is>
          <t>流入</t>
        </is>
      </c>
      <c r="B43" s="10" t="inlineStr">
        <is>
          <t>招待報酬</t>
        </is>
      </c>
      <c r="C43" s="12" t="n">
        <v>10000</v>
      </c>
      <c r="D43" s="12" t="n">
        <v>5</v>
      </c>
      <c r="E43" s="13">
        <f>C43*D43</f>
        <v/>
      </c>
      <c r="F43" s="14" t="inlineStr">
        <is>
          <t>刻:5人5万/10人10万/+10万per10人/100人100万+ロール+Secret</t>
        </is>
      </c>
    </row>
    <row r="44">
      <c r="A44" s="10" t="inlineStr">
        <is>
          <t>流入</t>
        </is>
      </c>
      <c r="B44" s="10" t="inlineStr">
        <is>
          <t>ランク報酬</t>
        </is>
      </c>
      <c r="C44" s="12" t="n">
        <v>15000</v>
      </c>
      <c r="D44" s="12" t="n">
        <v>6</v>
      </c>
      <c r="E44" s="13">
        <f>C44*D44</f>
        <v/>
      </c>
      <c r="F44" s="14" t="inlineStr">
        <is>
          <t>10Lvごと逓増マイルストーン</t>
        </is>
      </c>
    </row>
    <row r="45">
      <c r="A45" s="10" t="inlineStr">
        <is>
          <t>流入</t>
        </is>
      </c>
      <c r="B45" s="10" t="inlineStr">
        <is>
          <t>サバブ達成</t>
        </is>
      </c>
      <c r="C45" s="12" t="n">
        <v>40000</v>
      </c>
      <c r="D45" s="12" t="n">
        <v>3</v>
      </c>
      <c r="E45" s="13">
        <f>C45*D45</f>
        <v/>
      </c>
      <c r="F45" s="14" t="inlineStr">
        <is>
          <t>刻:3〜5万×回数(仮4万)</t>
        </is>
      </c>
    </row>
    <row r="46">
      <c r="A46" s="10" t="inlineStr">
        <is>
          <t>流入</t>
        </is>
      </c>
      <c r="B46" s="10" t="inlineStr">
        <is>
          <t>VC在席報酬</t>
        </is>
      </c>
      <c r="C46" s="12" t="n">
        <v>100</v>
      </c>
      <c r="D46" s="12" t="n">
        <v>2000</v>
      </c>
      <c r="E46" s="13">
        <f>C46*D46</f>
        <v/>
      </c>
      <c r="F46" s="14" t="inlineStr">
        <is>
          <t>刻:裁量で任せ→100Gil/h。会話VC限定</t>
        </is>
      </c>
    </row>
    <row r="47">
      <c r="A47" s="10" t="inlineStr">
        <is>
          <t>変動</t>
        </is>
      </c>
      <c r="B47" s="10" t="inlineStr">
        <is>
          <t>審星官 評価歩合</t>
        </is>
      </c>
      <c r="C47" s="12" t="n">
        <v>1500</v>
      </c>
      <c r="D47" s="12" t="n">
        <v>40</v>
      </c>
      <c r="E47" s="13">
        <f>C47*D47</f>
        <v/>
      </c>
      <c r="F47" s="14" t="inlineStr">
        <is>
          <t>見習500〜特級2500×枚数。実作業=ノーキャップ＋監視</t>
        </is>
      </c>
    </row>
    <row r="48">
      <c r="A48" s="10" t="inlineStr">
        <is>
          <t>変動</t>
        </is>
      </c>
      <c r="B48" s="10" t="inlineStr">
        <is>
          <t>星導官 歩合(面接+個別)</t>
        </is>
      </c>
      <c r="C48" s="12" t="n">
        <v>3000</v>
      </c>
      <c r="D48" s="12" t="n">
        <v>10</v>
      </c>
      <c r="E48" s="13">
        <f>C48*D48</f>
        <v/>
      </c>
      <c r="F48" s="14" t="inlineStr">
        <is>
          <t>完全歩合・全収入。面接3000×回＋個別対応1000×件・上限12万</t>
        </is>
      </c>
    </row>
    <row r="49">
      <c r="A49" s="10" t="inlineStr">
        <is>
          <t>変動</t>
        </is>
      </c>
      <c r="B49" s="10" t="inlineStr">
        <is>
          <t>星賭官 勝ち歩合</t>
        </is>
      </c>
      <c r="C49" s="12" t="n">
        <v>500</v>
      </c>
      <c r="D49" s="12" t="n">
        <v>100</v>
      </c>
      <c r="E49" s="13">
        <f>C49*D49</f>
        <v/>
      </c>
      <c r="F49" s="14" t="inlineStr">
        <is>
          <t>500×勝ち。○月キャップ50k＋最低ベット閾値(農耕防止)</t>
        </is>
      </c>
    </row>
    <row r="50">
      <c r="A50" s="10" t="inlineStr">
        <is>
          <t>不定期</t>
        </is>
      </c>
      <c r="B50" s="10" t="inlineStr">
        <is>
          <t>イベント・公式配布</t>
        </is>
      </c>
      <c r="C50" s="12" t="n">
        <v>200000</v>
      </c>
      <c r="D50" s="12" t="n">
        <v>5</v>
      </c>
      <c r="E50" s="13">
        <f>C50*D50</f>
        <v/>
      </c>
      <c r="F50" s="14" t="inlineStr">
        <is>
          <t>仮上限=月100万に増額(ステージ等のsink原資)</t>
        </is>
      </c>
    </row>
    <row r="51">
      <c r="B51" s="15" t="inlineStr">
        <is>
          <t>小計（Gil流入_その他）</t>
        </is>
      </c>
      <c r="E51" s="16">
        <f>SUM(E42:E50)</f>
        <v/>
      </c>
    </row>
    <row r="53">
      <c r="A53" s="7" t="inlineStr">
        <is>
          <t>Gil シンク：ショップ（手動運用・価格は我々が決める）</t>
        </is>
      </c>
      <c r="B53" s="8" t="n"/>
      <c r="C53" s="8" t="n"/>
      <c r="D53" s="8" t="n"/>
      <c r="E53" s="8" t="n"/>
      <c r="F53" s="8" t="n"/>
    </row>
    <row r="54">
      <c r="A54" s="9" t="inlineStr">
        <is>
          <t>区分</t>
        </is>
      </c>
      <c r="B54" s="9" t="inlineStr">
        <is>
          <t>項目</t>
        </is>
      </c>
      <c r="C54" s="9" t="inlineStr">
        <is>
          <t>単価/給与</t>
        </is>
      </c>
      <c r="D54" s="9" t="inlineStr">
        <is>
          <t>人数/件数/量</t>
        </is>
      </c>
      <c r="E54" s="9" t="inlineStr">
        <is>
          <t>月額</t>
        </is>
      </c>
      <c r="F54" s="9" t="inlineStr">
        <is>
          <t>備考・データ源</t>
        </is>
      </c>
    </row>
    <row r="55">
      <c r="A55" s="10" t="inlineStr">
        <is>
          <t>反復</t>
        </is>
      </c>
      <c r="B55" s="10" t="inlineStr">
        <is>
          <t>名前変更(2回目以降)</t>
        </is>
      </c>
      <c r="C55" s="11" t="n">
        <v>100000</v>
      </c>
      <c r="D55" s="12" t="n">
        <v>2</v>
      </c>
      <c r="E55" s="13">
        <f>C55*D55</f>
        <v/>
      </c>
      <c r="F55" s="14" t="inlineStr">
        <is>
          <t>初回無料/2回目以降10万。ぽんぽん防止</t>
        </is>
      </c>
    </row>
    <row r="56">
      <c r="A56" s="10" t="inlineStr">
        <is>
          <t>反復</t>
        </is>
      </c>
      <c r="B56" s="10" t="inlineStr">
        <is>
          <t>カラーネーム(期間色)</t>
        </is>
      </c>
      <c r="C56" s="11" t="n">
        <v>20000</v>
      </c>
      <c r="D56" s="12" t="n">
        <v>6</v>
      </c>
      <c r="E56" s="13">
        <f>C56*D56</f>
        <v/>
      </c>
      <c r="F56" s="14" t="inlineStr">
        <is>
          <t>反復</t>
        </is>
      </c>
    </row>
    <row r="57">
      <c r="A57" s="10" t="inlineStr">
        <is>
          <t>反復</t>
        </is>
      </c>
      <c r="B57" s="10" t="inlineStr">
        <is>
          <t>鯖スタンプ追加</t>
        </is>
      </c>
      <c r="C57" s="11" t="n">
        <v>15000</v>
      </c>
      <c r="D57" s="12" t="n">
        <v>8</v>
      </c>
      <c r="E57" s="13">
        <f>C57*D57</f>
        <v/>
      </c>
      <c r="F57" s="14" t="inlineStr">
        <is>
          <t>反復</t>
        </is>
      </c>
    </row>
    <row r="58">
      <c r="A58" s="10" t="inlineStr">
        <is>
          <t>反復</t>
        </is>
      </c>
      <c r="B58" s="10" t="inlineStr">
        <is>
          <t>一時ブースト(XP/福分け)</t>
        </is>
      </c>
      <c r="C58" s="11" t="n">
        <v>25000</v>
      </c>
      <c r="D58" s="12" t="n">
        <v>6</v>
      </c>
      <c r="E58" s="13">
        <f>C58*D58</f>
        <v/>
      </c>
      <c r="F58" s="14" t="inlineStr">
        <is>
          <t>期間制</t>
        </is>
      </c>
    </row>
    <row r="59">
      <c r="A59" s="10" t="inlineStr">
        <is>
          <t>サブスク</t>
        </is>
      </c>
      <c r="B59" s="10" t="inlineStr">
        <is>
          <t>荒野通行証</t>
        </is>
      </c>
      <c r="C59" s="11" t="n">
        <v>80000</v>
      </c>
      <c r="D59" s="12" t="n">
        <v>6</v>
      </c>
      <c r="E59" s="13">
        <f>C59*D59</f>
        <v/>
      </c>
      <c r="F59" s="14" t="inlineStr">
        <is>
          <t>月サブスク・格差ゲート。数量=購読者数</t>
        </is>
      </c>
    </row>
    <row r="60">
      <c r="A60" s="10" t="inlineStr">
        <is>
          <t>サブスク</t>
        </is>
      </c>
      <c r="B60" s="10" t="inlineStr">
        <is>
          <t>監獄通行証</t>
        </is>
      </c>
      <c r="C60" s="11" t="n">
        <v>80000</v>
      </c>
      <c r="D60" s="12" t="n">
        <v>4</v>
      </c>
      <c r="E60" s="13">
        <f>C60*D60</f>
        <v/>
      </c>
      <c r="F60" s="14" t="inlineStr">
        <is>
          <t>月サブスク。数量=購読者数</t>
        </is>
      </c>
    </row>
    <row r="61">
      <c r="A61" s="10" t="inlineStr">
        <is>
          <t>サブスク</t>
        </is>
      </c>
      <c r="B61" s="10" t="inlineStr">
        <is>
          <t>18禁コンテンツロール</t>
        </is>
      </c>
      <c r="C61" s="11" t="n">
        <v>5000</v>
      </c>
      <c r="D61" s="12" t="n">
        <v>10</v>
      </c>
      <c r="E61" s="13">
        <f>C61*D61</f>
        <v/>
      </c>
      <c r="F61" s="14" t="inlineStr">
        <is>
          <t>刻案:普及狙いでサブスク5千/月(買切なら5万)</t>
        </is>
      </c>
    </row>
    <row r="62">
      <c r="A62" s="10" t="inlineStr">
        <is>
          <t>サブスク</t>
        </is>
      </c>
      <c r="B62" s="10" t="inlineStr">
        <is>
          <t>Sub垢 維持費</t>
        </is>
      </c>
      <c r="C62" s="11" t="n">
        <v>50000</v>
      </c>
      <c r="D62" s="12" t="n">
        <v>2</v>
      </c>
      <c r="E62" s="13">
        <f>C62*D62</f>
        <v/>
      </c>
      <c r="F62" s="14" t="inlineStr">
        <is>
          <t>刻決定:Sub垢の月維持費5万</t>
        </is>
      </c>
    </row>
    <row r="63">
      <c r="A63" s="10" t="inlineStr">
        <is>
          <t>高額</t>
        </is>
      </c>
      <c r="B63" s="10" t="inlineStr">
        <is>
          <t>ステージ利用者証</t>
        </is>
      </c>
      <c r="C63" s="11" t="n">
        <v>300000</v>
      </c>
      <c r="D63" s="12" t="n">
        <v>1</v>
      </c>
      <c r="E63" s="13">
        <f>C63*D63</f>
        <v/>
      </c>
      <c r="F63" s="14" t="inlineStr">
        <is>
          <t>刻:最低30万。大型sink→イベント上限の原資</t>
        </is>
      </c>
    </row>
    <row r="64">
      <c r="A64" s="10" t="inlineStr">
        <is>
          <t>高額</t>
        </is>
      </c>
      <c r="B64" s="10" t="inlineStr">
        <is>
          <t>Sub垢 導入</t>
        </is>
      </c>
      <c r="C64" s="11" t="n">
        <v>300000</v>
      </c>
      <c r="D64" s="12" t="n">
        <v>2</v>
      </c>
      <c r="E64" s="13">
        <f>C64*D64</f>
        <v/>
      </c>
      <c r="F64" s="14" t="inlineStr">
        <is>
          <t>刻決定:導入30万(維持費は別行)</t>
        </is>
      </c>
    </row>
    <row r="65">
      <c r="A65" s="10" t="inlineStr">
        <is>
          <t>高額</t>
        </is>
      </c>
      <c r="B65" s="10" t="inlineStr">
        <is>
          <t>シクレ宿(価格仮)</t>
        </is>
      </c>
      <c r="C65" s="11" t="n">
        <v>50000</v>
      </c>
      <c r="D65" s="12" t="n">
        <v>2</v>
      </c>
      <c r="E65" s="13">
        <f>C65*D65</f>
        <v/>
      </c>
      <c r="F65" s="14" t="inlineStr">
        <is>
          <t>要・刻確認(中身次第)。仮5万/回</t>
        </is>
      </c>
    </row>
    <row r="66">
      <c r="A66" s="10" t="inlineStr">
        <is>
          <t>鯨</t>
        </is>
      </c>
      <c r="B66" s="10" t="inlineStr">
        <is>
          <t>限定カスタムロール</t>
        </is>
      </c>
      <c r="C66" s="11" t="n">
        <v>2000000</v>
      </c>
      <c r="D66" s="12" t="n">
        <v>2</v>
      </c>
      <c r="E66" s="13">
        <f>C66*D66</f>
        <v/>
      </c>
      <c r="F66" s="14" t="inlineStr">
        <is>
          <t>刻:非グラデ前提で〇。グラデ可なら上位価格</t>
        </is>
      </c>
    </row>
    <row r="67">
      <c r="A67" s="10" t="inlineStr">
        <is>
          <t>部屋代金</t>
        </is>
      </c>
      <c r="B67" s="10" t="inlineStr">
        <is>
          <t>宿代(2人個室)</t>
        </is>
      </c>
      <c r="C67" s="11" t="n">
        <v>8000</v>
      </c>
      <c r="D67" s="12" t="n">
        <v>15</v>
      </c>
      <c r="E67" s="13">
        <f>C67*D67</f>
        <v/>
      </c>
      <c r="F67" s="14" t="inlineStr">
        <is>
          <t>刻:問題無し</t>
        </is>
      </c>
    </row>
    <row r="68">
      <c r="A68" s="10" t="inlineStr">
        <is>
          <t>部屋代金</t>
        </is>
      </c>
      <c r="B68" s="10" t="inlineStr">
        <is>
          <t>ゲーム部屋(GO後)</t>
        </is>
      </c>
      <c r="C68" s="11" t="n">
        <v>8000</v>
      </c>
      <c r="D68" s="12" t="n">
        <v>12</v>
      </c>
      <c r="E68" s="13">
        <f>C68*D68</f>
        <v/>
      </c>
      <c r="F68" s="14" t="inlineStr">
        <is>
          <t>刻:プレオープン無料/GO後8千</t>
        </is>
      </c>
    </row>
    <row r="69">
      <c r="A69" s="10" t="inlineStr">
        <is>
          <t>部屋代金</t>
        </is>
      </c>
      <c r="B69" s="10" t="inlineStr">
        <is>
          <t>ゲーム部屋サブスク</t>
        </is>
      </c>
      <c r="C69" s="11" t="n">
        <v>30000</v>
      </c>
      <c r="D69" s="12" t="n">
        <v>3</v>
      </c>
      <c r="E69" s="13">
        <f>C69*D69</f>
        <v/>
      </c>
      <c r="F69" s="14" t="inlineStr">
        <is>
          <t>刻案:ヘビーユーザー向け立て放題</t>
        </is>
      </c>
    </row>
    <row r="70">
      <c r="B70" s="15" t="inlineStr">
        <is>
          <t>小計（Gilシンク_ショップ）</t>
        </is>
      </c>
      <c r="E70" s="16">
        <f>SUM(E55:E69)</f>
        <v/>
      </c>
    </row>
    <row r="72">
      <c r="A72" s="7" t="inlineStr">
        <is>
          <t>為替レバー（二通貨を繋ぐパイプ）</t>
        </is>
      </c>
      <c r="B72" s="8" t="n"/>
      <c r="C72" s="8" t="n"/>
      <c r="D72" s="8" t="n"/>
      <c r="E72" s="8" t="n"/>
      <c r="F72" s="8" t="n"/>
    </row>
    <row r="73">
      <c r="A73" s="15" t="inlineStr">
        <is>
          <t>レバー</t>
        </is>
      </c>
      <c r="B73" s="15" t="inlineStr">
        <is>
          <t>項目</t>
        </is>
      </c>
      <c r="C73" s="15" t="inlineStr">
        <is>
          <t>値</t>
        </is>
      </c>
    </row>
    <row r="74">
      <c r="B74" s="2" t="inlineStr">
        <is>
          <t>為替レート R（1エテル=何Gil）</t>
        </is>
      </c>
      <c r="C74" s="17" t="n">
        <v>10</v>
      </c>
      <c r="F74" s="18" t="inlineStr">
        <is>
          <t>我々が決定。Gil÷エテルの交換比</t>
        </is>
      </c>
    </row>
    <row r="75">
      <c r="B75" s="2" t="inlineStr">
        <is>
          <t>還光率 h（エテル→Gil 出口の目減り）</t>
        </is>
      </c>
      <c r="C75" s="19" t="n">
        <v>0.2</v>
      </c>
      <c r="F75" s="18" t="inlineStr">
        <is>
          <t>現状20%。半分JP/半分救済</t>
        </is>
      </c>
    </row>
    <row r="76">
      <c r="B76" s="2" t="inlineStr">
        <is>
          <t>Gil→エテル 両替量 / 月（Gil）</t>
        </is>
      </c>
      <c r="C76" s="20" t="n">
        <v>0</v>
      </c>
      <c r="F76" s="18" t="inlineStr">
        <is>
          <t>接続後に実績。Gilは消滅</t>
        </is>
      </c>
    </row>
    <row r="77">
      <c r="B77" s="2" t="inlineStr">
        <is>
          <t>エテル→Gil 換金量 / 月（エテル）</t>
        </is>
      </c>
      <c r="C77" s="20" t="n">
        <v>0</v>
      </c>
      <c r="F77" s="18" t="inlineStr">
        <is>
          <t>接続後に実績</t>
        </is>
      </c>
    </row>
    <row r="79">
      <c r="A79" s="7" t="inlineStr">
        <is>
          <t>カジノ行動前提（エテル経済の駆動・launch後データ待ち＝仮値）</t>
        </is>
      </c>
      <c r="B79" s="8" t="n"/>
      <c r="C79" s="8" t="n"/>
      <c r="D79" s="8" t="n"/>
      <c r="E79" s="8" t="n"/>
      <c r="F79" s="8" t="n"/>
    </row>
    <row r="80">
      <c r="A80" s="15" t="inlineStr">
        <is>
          <t>前提</t>
        </is>
      </c>
      <c r="B80" s="15" t="inlineStr">
        <is>
          <t>項目</t>
        </is>
      </c>
      <c r="C80" s="15" t="inlineStr">
        <is>
          <t>値</t>
        </is>
      </c>
    </row>
    <row r="81">
      <c r="B81" s="2" t="inlineStr">
        <is>
          <t>アクティブ人数</t>
        </is>
      </c>
      <c r="C81" s="21" t="n">
        <v>30</v>
      </c>
      <c r="F81" s="18" t="inlineStr">
        <is>
          <t>エテルを動かす人数(仮)</t>
        </is>
      </c>
    </row>
    <row r="82">
      <c r="B82" s="2" t="inlineStr">
        <is>
          <t>1人あたり 月間プレイ回数</t>
        </is>
      </c>
      <c r="C82" s="21" t="n">
        <v>200</v>
      </c>
      <c r="F82" s="18" t="inlineStr">
        <is>
          <t>仮</t>
        </is>
      </c>
    </row>
    <row r="83">
      <c r="B83" s="2" t="inlineStr">
        <is>
          <t>平均ベット額（エテル）</t>
        </is>
      </c>
      <c r="C83" s="17" t="n">
        <v>500</v>
      </c>
      <c r="F83" s="18" t="inlineStr">
        <is>
          <t>仮</t>
        </is>
      </c>
    </row>
    <row r="84">
      <c r="B84" s="2" t="inlineStr">
        <is>
          <t>実効ハウスエッジ</t>
        </is>
      </c>
      <c r="C84" s="19" t="n">
        <v>0.05</v>
      </c>
      <c r="F84" s="18" t="inlineStr">
        <is>
          <t>4〜5%±2%。economy.ts</t>
        </is>
      </c>
    </row>
    <row r="85">
      <c r="B85" s="2" t="inlineStr">
        <is>
          <t>福分け 1人1日 平均（エテル）</t>
        </is>
      </c>
      <c r="C85" s="17" t="n">
        <v>200</v>
      </c>
      <c r="F85" s="18" t="inlineStr">
        <is>
          <t>300/225/150/100の加重(仮)</t>
        </is>
      </c>
    </row>
    <row r="86">
      <c r="B86" s="2" t="inlineStr">
        <is>
          <t>月日数</t>
        </is>
      </c>
      <c r="C86" s="21" t="n">
        <v>30</v>
      </c>
      <c r="F86" s="18" t="inlineStr">
        <is>
          <t>月→日換算</t>
        </is>
      </c>
    </row>
    <row r="88">
      <c r="A88" s="7" t="inlineStr">
        <is>
          <t>カジノ内パラメータ（参考・ハウス吸収の行先など）</t>
        </is>
      </c>
      <c r="B88" s="8" t="n"/>
      <c r="C88" s="8" t="n"/>
      <c r="D88" s="8" t="n"/>
      <c r="E88" s="8" t="n"/>
      <c r="F88" s="8" t="n"/>
    </row>
    <row r="89">
      <c r="A89" s="15" t="inlineStr">
        <is>
          <t>参考</t>
        </is>
      </c>
      <c r="B89" s="15" t="inlineStr">
        <is>
          <t>項目</t>
        </is>
      </c>
      <c r="C89" s="15" t="inlineStr">
        <is>
          <t>値</t>
        </is>
      </c>
    </row>
    <row r="90">
      <c r="B90" s="2" t="inlineStr">
        <is>
          <t>ハウス吸収→消滅 率</t>
        </is>
      </c>
      <c r="C90" s="19" t="n">
        <v>0.5</v>
      </c>
      <c r="F90" s="18" t="inlineStr">
        <is>
          <t>economy.distributeHouseEarnings</t>
        </is>
      </c>
    </row>
    <row r="91">
      <c r="B91" s="2" t="inlineStr">
        <is>
          <t>ハウス吸収→救済 率</t>
        </is>
      </c>
      <c r="C91" s="19" t="n">
        <v>0.3</v>
      </c>
      <c r="F91" s="18" t="inlineStr">
        <is>
          <t>同上</t>
        </is>
      </c>
    </row>
    <row r="92">
      <c r="B92" s="2" t="inlineStr">
        <is>
          <t>ハウス吸収→JP 率</t>
        </is>
      </c>
      <c r="C92" s="19" t="n">
        <v>0.2</v>
      </c>
      <c r="F92" s="18" t="inlineStr">
        <is>
          <t>同上</t>
        </is>
      </c>
    </row>
    <row r="93">
      <c r="B93" s="2" t="inlineStr">
        <is>
          <t>初期残高（エテル）</t>
        </is>
      </c>
      <c r="C93" s="17" t="n">
        <v>3000</v>
      </c>
      <c r="F93" s="18" t="inlineStr">
        <is>
          <t>db.ts</t>
        </is>
      </c>
    </row>
    <row r="94">
      <c r="B94" s="2" t="inlineStr">
        <is>
          <t>残高上限（エテル）</t>
        </is>
      </c>
      <c r="C94" s="17" t="n">
        <v>300000</v>
      </c>
      <c r="F94" s="18" t="inlineStr">
        <is>
          <t>db.ts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>
      <c r="A1" s="1" t="inlineStr">
        <is>
          <t>Gil経済（月次フロー）</t>
        </is>
      </c>
    </row>
    <row r="3">
      <c r="A3" s="3" t="inlineStr">
        <is>
          <t>◆ Gil 流入（mint / 月）</t>
        </is>
      </c>
    </row>
    <row r="4">
      <c r="A4" s="2" t="inlineStr">
        <is>
          <t>給与・階級</t>
        </is>
      </c>
      <c r="B4" s="22">
        <f>SUM('前提・レバー'!$E$6:$E$9)</f>
        <v/>
      </c>
      <c r="C4" s="18" t="inlineStr">
        <is>
          <t>Σ 人数×給与</t>
        </is>
      </c>
    </row>
    <row r="5">
      <c r="A5" s="2" t="inlineStr">
        <is>
          <t>給与・役職</t>
        </is>
      </c>
      <c r="B5" s="22">
        <f>SUM('前提・レバー'!$E$14:$E$29)</f>
        <v/>
      </c>
      <c r="C5" s="18" t="inlineStr">
        <is>
          <t>重複可・固定分</t>
        </is>
      </c>
    </row>
    <row r="6">
      <c r="A6" s="2" t="inlineStr">
        <is>
          <t>給与・運営(Secret)</t>
        </is>
      </c>
      <c r="B6" s="22">
        <f>SUM('前提・レバー'!$E$34:$E$37)</f>
        <v/>
      </c>
      <c r="C6" s="18" t="inlineStr">
        <is>
          <t>要Gill</t>
        </is>
      </c>
    </row>
    <row r="7">
      <c r="A7" s="2" t="inlineStr">
        <is>
          <t>日記/招待/ブースト/VC</t>
        </is>
      </c>
      <c r="B7" s="22">
        <f>SUM('前提・レバー'!$E$42:$E$50)</f>
        <v/>
      </c>
      <c r="C7" s="18" t="inlineStr">
        <is>
          <t>Gill運用</t>
        </is>
      </c>
    </row>
    <row r="8">
      <c r="A8" s="23" t="inlineStr">
        <is>
          <t>Gil mint 合計 / 月</t>
        </is>
      </c>
      <c r="B8" s="16">
        <f>SUM(B4:B7)</f>
        <v/>
      </c>
    </row>
    <row r="10">
      <c r="A10" s="3" t="inlineStr">
        <is>
          <t>◆ Gil シンク（sink / 月）</t>
        </is>
      </c>
    </row>
    <row r="11">
      <c r="A11" s="2" t="inlineStr">
        <is>
          <t>ショップ購入（手動）</t>
        </is>
      </c>
      <c r="B11" s="22">
        <f>SUM('前提・レバー'!$E$55:$E$69)</f>
        <v/>
      </c>
      <c r="C11" s="18" t="inlineStr">
        <is>
          <t>価格=我々</t>
        </is>
      </c>
    </row>
    <row r="12">
      <c r="A12" s="2" t="inlineStr">
        <is>
          <t>カジノ両替 Gil→エテル（消滅）</t>
        </is>
      </c>
      <c r="B12" s="22">
        <f>'前提・レバー'!$C$76</f>
        <v/>
      </c>
      <c r="C12" s="18" t="inlineStr">
        <is>
          <t>Gilは消滅</t>
        </is>
      </c>
    </row>
    <row r="13">
      <c r="A13" s="23" t="inlineStr">
        <is>
          <t>Gil sink 合計 / 月</t>
        </is>
      </c>
      <c r="B13" s="16">
        <f>B11+B12</f>
        <v/>
      </c>
    </row>
    <row r="15">
      <c r="A15" s="3" t="inlineStr">
        <is>
          <t>◆ カジノからの戻り（mint側）</t>
        </is>
      </c>
    </row>
    <row r="16">
      <c r="A16" s="2" t="inlineStr">
        <is>
          <t>エテル→Gil 換金で戻るGil</t>
        </is>
      </c>
      <c r="B16" s="22">
        <f>'前提・レバー'!$C$77*(1-'前提・レバー'!$C$75)/'前提・レバー'!$C$74</f>
        <v/>
      </c>
      <c r="C16" s="18" t="inlineStr">
        <is>
          <t>(1-還光)×量÷レート</t>
        </is>
      </c>
    </row>
    <row r="18">
      <c r="A18" s="3" t="inlineStr">
        <is>
          <t>◆ 収支</t>
        </is>
      </c>
    </row>
    <row r="19">
      <c r="A19" s="24" t="inlineStr">
        <is>
          <t>Gil 純増 / 月</t>
        </is>
      </c>
      <c r="B19" s="25">
        <f>B8+B16-B13</f>
        <v/>
      </c>
      <c r="C19" s="18" t="inlineStr">
        <is>
          <t>mint+戻り−sink</t>
        </is>
      </c>
    </row>
    <row r="20">
      <c r="A20" s="15" t="inlineStr">
        <is>
          <t>カジノ純吸収（Gil）</t>
        </is>
      </c>
      <c r="B20" s="26">
        <f>B12-B16</f>
        <v/>
      </c>
      <c r="C20" s="18" t="inlineStr">
        <is>
          <t>両替流入−戻り</t>
        </is>
      </c>
    </row>
    <row r="21">
      <c r="A21" s="15" t="inlineStr">
        <is>
          <t>カジノ吸収率（対Gil mint）</t>
        </is>
      </c>
      <c r="B21" s="27">
        <f>IF(B8=0,0,B20/B8)</f>
        <v/>
      </c>
      <c r="C21" s="18" t="inlineStr">
        <is>
          <t>カジノがGil mintの何%を吸うか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2" customWidth="1" min="3" max="3"/>
  </cols>
  <sheetData>
    <row r="1">
      <c r="A1" s="1" t="inlineStr">
        <is>
          <t>エテル経済（月次フロー・◈）</t>
        </is>
      </c>
    </row>
    <row r="3">
      <c r="A3" s="3" t="inlineStr">
        <is>
          <t>◆ 中間計算</t>
        </is>
      </c>
    </row>
    <row r="4">
      <c r="A4" s="2" t="inlineStr">
        <is>
          <t>月間 総ベット額（エテル）</t>
        </is>
      </c>
      <c r="B4" s="22">
        <f>'前提・レバー'!$C$81*'前提・レバー'!$C$82*'前提・レバー'!$C$83</f>
        <v/>
      </c>
      <c r="C4" s="18" t="inlineStr">
        <is>
          <t>人数×回数×平均ベット</t>
        </is>
      </c>
    </row>
    <row r="5">
      <c r="A5" s="2" t="inlineStr">
        <is>
          <t>ハウス吸収額（エテル）</t>
        </is>
      </c>
      <c r="B5" s="22">
        <f>B4*'前提・レバー'!$C$84</f>
        <v/>
      </c>
      <c r="C5" s="18" t="inlineStr">
        <is>
          <t>総ベット×エッジ</t>
        </is>
      </c>
    </row>
    <row r="6">
      <c r="A6" s="2" t="inlineStr">
        <is>
          <t>福分け mint（エテル）</t>
        </is>
      </c>
      <c r="B6" s="22">
        <f>'前提・レバー'!$C$81*'前提・レバー'!$C$85*'前提・レバー'!$C$86</f>
        <v/>
      </c>
      <c r="C6" s="18" t="inlineStr">
        <is>
          <t>人数×日額×日数</t>
        </is>
      </c>
    </row>
    <row r="8">
      <c r="A8" s="3" t="inlineStr">
        <is>
          <t>◆ エテル mint（発行 / 月）</t>
        </is>
      </c>
    </row>
    <row r="9">
      <c r="A9" s="2" t="inlineStr">
        <is>
          <t>福分け（daily）</t>
        </is>
      </c>
      <c r="B9" s="28">
        <f>B6</f>
        <v/>
      </c>
    </row>
    <row r="10">
      <c r="A10" s="2" t="inlineStr">
        <is>
          <t>Gil→エテル 両替で発行</t>
        </is>
      </c>
      <c r="B10" s="22">
        <f>'前提・レバー'!$C$76/'前提・レバー'!$C$74</f>
        <v/>
      </c>
      <c r="C10" s="18" t="inlineStr">
        <is>
          <t>両替Gil÷レート</t>
        </is>
      </c>
    </row>
    <row r="11">
      <c r="A11" s="23" t="inlineStr">
        <is>
          <t>エテル mint 合計 / 月</t>
        </is>
      </c>
      <c r="B11" s="16">
        <f>B9+B10</f>
        <v/>
      </c>
    </row>
    <row r="13">
      <c r="A13" s="3" t="inlineStr">
        <is>
          <t>◆ エテル シンク（消滅 / 月）</t>
        </is>
      </c>
    </row>
    <row r="14">
      <c r="A14" s="2" t="inlineStr">
        <is>
          <t>ハウス吸収の50%消滅</t>
        </is>
      </c>
      <c r="B14" s="22">
        <f>B5*'前提・レバー'!$C$90</f>
        <v/>
      </c>
      <c r="C14" s="18" t="inlineStr">
        <is>
          <t>残り50%はプールへ(供給内)</t>
        </is>
      </c>
    </row>
    <row r="15">
      <c r="A15" s="2" t="inlineStr">
        <is>
          <t>エテル→Gil 換金で消滅</t>
        </is>
      </c>
      <c r="B15" s="22">
        <f>'前提・レバー'!$C$77*(1-'前提・レバー'!$C$75)</f>
        <v/>
      </c>
      <c r="C15" s="18" t="inlineStr">
        <is>
          <t>(1-還光)分がGil化し消滅</t>
        </is>
      </c>
    </row>
    <row r="16">
      <c r="A16" s="23" t="inlineStr">
        <is>
          <t>エテル sink 合計 / 月</t>
        </is>
      </c>
      <c r="B16" s="16">
        <f>B14+B15</f>
        <v/>
      </c>
      <c r="C16" s="18" t="inlineStr">
        <is>
          <t>景品/累進奉納は別途</t>
        </is>
      </c>
    </row>
    <row r="18">
      <c r="A18" s="3" t="inlineStr">
        <is>
          <t>◆ 収支</t>
        </is>
      </c>
    </row>
    <row r="19">
      <c r="A19" s="24" t="inlineStr">
        <is>
          <t>エテル 純増 / 月</t>
        </is>
      </c>
      <c r="B19" s="25">
        <f>B11-B16</f>
        <v/>
      </c>
      <c r="C19" s="18" t="inlineStr">
        <is>
          <t>mint−sink</t>
        </is>
      </c>
    </row>
    <row r="20">
      <c r="A20" s="2" t="inlineStr">
        <is>
          <t>プール流入（救済30%+JP20%）</t>
        </is>
      </c>
      <c r="B20" s="22">
        <f>B5*('前提・レバー'!$C$91+'前提・レバー'!$C$92)</f>
        <v/>
      </c>
      <c r="C20" s="18" t="inlineStr">
        <is>
          <t>供給内で循環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見通し（12ヶ月・月次純増を一定と仮定した投影）</t>
        </is>
      </c>
    </row>
    <row r="2">
      <c r="A2" s="6" t="inlineStr">
        <is>
          <t>開始供給は青字で入力。月次純増は各経済シートから参照（簡易：一定）。</t>
        </is>
      </c>
    </row>
    <row r="4">
      <c r="A4" s="15" t="inlineStr">
        <is>
          <t>Gil 開始供給</t>
        </is>
      </c>
      <c r="B4" s="17" t="n">
        <v>5000000</v>
      </c>
      <c r="C4" s="29" t="inlineStr">
        <is>
          <t>← 要Gill（現Gil総供給）</t>
        </is>
      </c>
    </row>
    <row r="5">
      <c r="A5" s="15" t="inlineStr">
        <is>
          <t>エテル 開始供給</t>
        </is>
      </c>
      <c r="B5" s="17" t="n">
        <v>90000</v>
      </c>
      <c r="C5" s="18" t="inlineStr">
        <is>
          <t>← Bot監視の現エテル総供給</t>
        </is>
      </c>
    </row>
    <row r="7">
      <c r="A7" s="9" t="inlineStr">
        <is>
          <t>月</t>
        </is>
      </c>
      <c r="B7" s="9" t="inlineStr">
        <is>
          <t>M0</t>
        </is>
      </c>
      <c r="C7" s="9" t="inlineStr">
        <is>
          <t>M1</t>
        </is>
      </c>
      <c r="D7" s="9" t="inlineStr">
        <is>
          <t>M2</t>
        </is>
      </c>
      <c r="E7" s="9" t="inlineStr">
        <is>
          <t>M3</t>
        </is>
      </c>
      <c r="F7" s="9" t="inlineStr">
        <is>
          <t>M4</t>
        </is>
      </c>
      <c r="G7" s="9" t="inlineStr">
        <is>
          <t>M5</t>
        </is>
      </c>
      <c r="H7" s="9" t="inlineStr">
        <is>
          <t>M6</t>
        </is>
      </c>
      <c r="I7" s="9" t="inlineStr">
        <is>
          <t>M7</t>
        </is>
      </c>
      <c r="J7" s="9" t="inlineStr">
        <is>
          <t>M8</t>
        </is>
      </c>
      <c r="K7" s="9" t="inlineStr">
        <is>
          <t>M9</t>
        </is>
      </c>
      <c r="L7" s="9" t="inlineStr">
        <is>
          <t>M10</t>
        </is>
      </c>
      <c r="M7" s="9" t="inlineStr">
        <is>
          <t>M11</t>
        </is>
      </c>
      <c r="N7" s="9" t="inlineStr">
        <is>
          <t>M12</t>
        </is>
      </c>
    </row>
    <row r="8">
      <c r="A8" s="15" t="inlineStr">
        <is>
          <t>Gil 供給</t>
        </is>
      </c>
      <c r="B8" s="28">
        <f>$B$4</f>
        <v/>
      </c>
      <c r="C8" s="28">
        <f>B8+'Gil経済'!$B$19</f>
        <v/>
      </c>
      <c r="D8" s="28">
        <f>C8+'Gil経済'!$B$19</f>
        <v/>
      </c>
      <c r="E8" s="28">
        <f>D8+'Gil経済'!$B$19</f>
        <v/>
      </c>
      <c r="F8" s="28">
        <f>E8+'Gil経済'!$B$19</f>
        <v/>
      </c>
      <c r="G8" s="28">
        <f>F8+'Gil経済'!$B$19</f>
        <v/>
      </c>
      <c r="H8" s="28">
        <f>G8+'Gil経済'!$B$19</f>
        <v/>
      </c>
      <c r="I8" s="28">
        <f>H8+'Gil経済'!$B$19</f>
        <v/>
      </c>
      <c r="J8" s="28">
        <f>I8+'Gil経済'!$B$19</f>
        <v/>
      </c>
      <c r="K8" s="28">
        <f>J8+'Gil経済'!$B$19</f>
        <v/>
      </c>
      <c r="L8" s="28">
        <f>K8+'Gil経済'!$B$19</f>
        <v/>
      </c>
      <c r="M8" s="28">
        <f>L8+'Gil経済'!$B$19</f>
        <v/>
      </c>
      <c r="N8" s="28">
        <f>M8+'Gil経済'!$B$19</f>
        <v/>
      </c>
    </row>
    <row r="9">
      <c r="A9" s="15" t="inlineStr">
        <is>
          <t>エテル 供給</t>
        </is>
      </c>
      <c r="B9" s="28">
        <f>$B$5</f>
        <v/>
      </c>
      <c r="C9" s="28">
        <f>B9+'エテル経済'!$B$19</f>
        <v/>
      </c>
      <c r="D9" s="28">
        <f>C9+'エテル経済'!$B$19</f>
        <v/>
      </c>
      <c r="E9" s="28">
        <f>D9+'エテル経済'!$B$19</f>
        <v/>
      </c>
      <c r="F9" s="28">
        <f>E9+'エテル経済'!$B$19</f>
        <v/>
      </c>
      <c r="G9" s="28">
        <f>F9+'エテル経済'!$B$19</f>
        <v/>
      </c>
      <c r="H9" s="28">
        <f>G9+'エテル経済'!$B$19</f>
        <v/>
      </c>
      <c r="I9" s="28">
        <f>H9+'エテル経済'!$B$19</f>
        <v/>
      </c>
      <c r="J9" s="28">
        <f>I9+'エテル経済'!$B$19</f>
        <v/>
      </c>
      <c r="K9" s="28">
        <f>J9+'エテル経済'!$B$19</f>
        <v/>
      </c>
      <c r="L9" s="28">
        <f>K9+'エテル経済'!$B$19</f>
        <v/>
      </c>
      <c r="M9" s="28">
        <f>L9+'エテル経済'!$B$19</f>
        <v/>
      </c>
      <c r="N9" s="28">
        <f>M9+'エテル経済'!$B$19</f>
        <v/>
      </c>
    </row>
    <row r="10">
      <c r="A10" s="15" t="inlineStr">
        <is>
          <t>均衡指標</t>
        </is>
      </c>
      <c r="B10" s="30">
        <f>IF('Gil経済'!$B$19&gt;0,"Gil増（吸収不足/インフレ寄り）",IF('Gil経済'!$B$19&lt;0,"Gil減（吸いすぎ/デフレ寄り）","均衡"))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</cols>
  <sheetData>
    <row r="1">
      <c r="A1" s="1" t="inlineStr">
        <is>
          <t>ダッシュボード（要点）</t>
        </is>
      </c>
    </row>
    <row r="3">
      <c r="A3" s="9" t="inlineStr">
        <is>
          <t>指標</t>
        </is>
      </c>
      <c r="B3" s="9" t="inlineStr">
        <is>
          <t>値</t>
        </is>
      </c>
      <c r="C3" s="9" t="inlineStr">
        <is>
          <t>意味</t>
        </is>
      </c>
    </row>
    <row r="4">
      <c r="A4" s="31" t="inlineStr">
        <is>
          <t>Gil mint 合計 / 月</t>
        </is>
      </c>
      <c r="B4" s="32">
        <f>'Gil経済'!$B$8</f>
        <v/>
      </c>
      <c r="C4" s="14" t="inlineStr">
        <is>
          <t>サーバーが月に刷るGil</t>
        </is>
      </c>
    </row>
    <row r="5">
      <c r="A5" s="31" t="inlineStr">
        <is>
          <t>Gil 純増 / 月</t>
        </is>
      </c>
      <c r="B5" s="32">
        <f>'Gil経済'!$B$19</f>
        <v/>
      </c>
      <c r="C5" s="14" t="inlineStr">
        <is>
          <t>＞0=インフレ寄り / ＜0=デフレ寄り</t>
        </is>
      </c>
    </row>
    <row r="6">
      <c r="A6" s="31" t="inlineStr">
        <is>
          <t>カジノ純吸収（Gil）</t>
        </is>
      </c>
      <c r="B6" s="32">
        <f>'Gil経済'!$B$20</f>
        <v/>
      </c>
      <c r="C6" s="14" t="inlineStr">
        <is>
          <t>カジノが吸うGil</t>
        </is>
      </c>
    </row>
    <row r="7">
      <c r="A7" s="31" t="inlineStr">
        <is>
          <t>カジノ吸収率（対Gil mint）</t>
        </is>
      </c>
      <c r="B7" s="33">
        <f>IF('Gil経済'!$B$8=0,0,'Gil経済'!$B$20/'Gil経済'!$B$8)</f>
        <v/>
      </c>
      <c r="C7" s="14" t="inlineStr">
        <is>
          <t>目標値を別途決める</t>
        </is>
      </c>
    </row>
    <row r="8">
      <c r="A8" s="31" t="inlineStr">
        <is>
          <t>エテル mint 合計 / 月</t>
        </is>
      </c>
      <c r="B8" s="32">
        <f>'エテル経済'!$B$11</f>
        <v/>
      </c>
      <c r="C8" s="14" t="inlineStr">
        <is>
          <t>カジノ内発行</t>
        </is>
      </c>
    </row>
    <row r="9">
      <c r="A9" s="31" t="inlineStr">
        <is>
          <t>エテル 純増 / 月</t>
        </is>
      </c>
      <c r="B9" s="32">
        <f>'エテル経済'!$B$19</f>
        <v/>
      </c>
      <c r="C9" s="14" t="inlineStr">
        <is>
          <t>＞0=エテル増</t>
        </is>
      </c>
    </row>
    <row r="10">
      <c r="A10" s="31" t="inlineStr">
        <is>
          <t>為替レート R</t>
        </is>
      </c>
      <c r="B10" s="32">
        <f>'前提・レバー'!$C$74</f>
        <v/>
      </c>
      <c r="C10" s="14" t="inlineStr">
        <is>
          <t>1エテル=?Gil（レバー）</t>
        </is>
      </c>
    </row>
    <row r="11">
      <c r="A11" s="31" t="inlineStr">
        <is>
          <t>還光率 h</t>
        </is>
      </c>
      <c r="B11" s="33">
        <f>'前提・レバー'!$C$75</f>
        <v/>
      </c>
      <c r="C11" s="14" t="inlineStr">
        <is>
          <t>レバー</t>
        </is>
      </c>
    </row>
    <row r="13">
      <c r="A13" s="3" t="inlineStr">
        <is>
          <t>■ 次に確定したいレバー</t>
        </is>
      </c>
    </row>
    <row r="14">
      <c r="A14" s="2" t="inlineStr">
        <is>
          <t>・為替レート R（接続後の本丸）</t>
        </is>
      </c>
    </row>
    <row r="15">
      <c r="A15" s="2" t="inlineStr">
        <is>
          <t>・ショップ各価格（Gilシンクの主力）</t>
        </is>
      </c>
    </row>
    <row r="16">
      <c r="A16" s="2" t="inlineStr">
        <is>
          <t>・VC在席レート（Gill側だが我々が最適化提案）</t>
        </is>
      </c>
    </row>
    <row r="17">
      <c r="A17" s="2" t="inlineStr">
        <is>
          <t>・カジノ吸収率の目標%（経済設計の北極星）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取得時間（time-to-earn）— 各財が“月収の何ヶ月分”か</t>
        </is>
      </c>
    </row>
    <row r="2">
      <c r="A2" s="6" t="inlineStr">
        <is>
          <t>値 = 価格 ÷ 月収。色: 緑=近い / 赤=遠い。価格・給与は前提シートと連動。数量△に依存しない設計盤面。</t>
        </is>
      </c>
    </row>
    <row r="4">
      <c r="A4" s="9" t="inlineStr">
        <is>
          <t>財 ＼ プロファイル</t>
        </is>
      </c>
      <c r="B4" s="9" t="inlineStr">
        <is>
          <t>価格(Gil)</t>
        </is>
      </c>
      <c r="C4" s="9" t="inlineStr">
        <is>
          <t>巡星者(主層)</t>
        </is>
      </c>
      <c r="D4" s="9" t="inlineStr">
        <is>
          <t>星約者(無役)</t>
        </is>
      </c>
      <c r="E4" s="9" t="inlineStr">
        <is>
          <t>星約者＋役職</t>
        </is>
      </c>
      <c r="F4" s="9" t="inlineStr">
        <is>
          <t>星約者＋顔役</t>
        </is>
      </c>
      <c r="G4" s="9" t="inlineStr">
        <is>
          <t>役職重ね持ち(富裕)</t>
        </is>
      </c>
    </row>
    <row r="5">
      <c r="A5" s="34" t="inlineStr">
        <is>
          <t>月収(Gil) →</t>
        </is>
      </c>
      <c r="C5" s="35">
        <f>'前提・レバー'!$C$7</f>
        <v/>
      </c>
      <c r="D5" s="35">
        <f>'前提・レバー'!$C$6</f>
        <v/>
      </c>
      <c r="E5" s="35">
        <f>'前提・レバー'!$C$6+'前提・レバー'!$C$22</f>
        <v/>
      </c>
      <c r="F5" s="35">
        <f>'前提・レバー'!$C$6+'前提・レバー'!$C$18</f>
        <v/>
      </c>
      <c r="G5" s="35">
        <f>'前提・レバー'!$C$6+'前提・レバー'!$C$15+'前提・レバー'!$C$22+'前提・レバー'!$C$23</f>
        <v/>
      </c>
    </row>
    <row r="6">
      <c r="A6" s="36">
        <f>'前提・レバー'!$B$55</f>
        <v/>
      </c>
      <c r="B6" s="32">
        <f>'前提・レバー'!$C$55</f>
        <v/>
      </c>
      <c r="C6" s="37">
        <f>IF(C$5=0,0,$B6/C$5)</f>
        <v/>
      </c>
      <c r="D6" s="37">
        <f>IF(D$5=0,0,$B6/D$5)</f>
        <v/>
      </c>
      <c r="E6" s="37">
        <f>IF(E$5=0,0,$B6/E$5)</f>
        <v/>
      </c>
      <c r="F6" s="37">
        <f>IF(F$5=0,0,$B6/F$5)</f>
        <v/>
      </c>
      <c r="G6" s="37">
        <f>IF(G$5=0,0,$B6/G$5)</f>
        <v/>
      </c>
    </row>
    <row r="7">
      <c r="A7" s="36">
        <f>'前提・レバー'!$B$56</f>
        <v/>
      </c>
      <c r="B7" s="32">
        <f>'前提・レバー'!$C$56</f>
        <v/>
      </c>
      <c r="C7" s="37">
        <f>IF(C$5=0,0,$B7/C$5)</f>
        <v/>
      </c>
      <c r="D7" s="37">
        <f>IF(D$5=0,0,$B7/D$5)</f>
        <v/>
      </c>
      <c r="E7" s="37">
        <f>IF(E$5=0,0,$B7/E$5)</f>
        <v/>
      </c>
      <c r="F7" s="37">
        <f>IF(F$5=0,0,$B7/F$5)</f>
        <v/>
      </c>
      <c r="G7" s="37">
        <f>IF(G$5=0,0,$B7/G$5)</f>
        <v/>
      </c>
    </row>
    <row r="8">
      <c r="A8" s="36">
        <f>'前提・レバー'!$B$57</f>
        <v/>
      </c>
      <c r="B8" s="32">
        <f>'前提・レバー'!$C$57</f>
        <v/>
      </c>
      <c r="C8" s="37">
        <f>IF(C$5=0,0,$B8/C$5)</f>
        <v/>
      </c>
      <c r="D8" s="37">
        <f>IF(D$5=0,0,$B8/D$5)</f>
        <v/>
      </c>
      <c r="E8" s="37">
        <f>IF(E$5=0,0,$B8/E$5)</f>
        <v/>
      </c>
      <c r="F8" s="37">
        <f>IF(F$5=0,0,$B8/F$5)</f>
        <v/>
      </c>
      <c r="G8" s="37">
        <f>IF(G$5=0,0,$B8/G$5)</f>
        <v/>
      </c>
    </row>
    <row r="9">
      <c r="A9" s="36">
        <f>'前提・レバー'!$B$58</f>
        <v/>
      </c>
      <c r="B9" s="32">
        <f>'前提・レバー'!$C$58</f>
        <v/>
      </c>
      <c r="C9" s="37">
        <f>IF(C$5=0,0,$B9/C$5)</f>
        <v/>
      </c>
      <c r="D9" s="37">
        <f>IF(D$5=0,0,$B9/D$5)</f>
        <v/>
      </c>
      <c r="E9" s="37">
        <f>IF(E$5=0,0,$B9/E$5)</f>
        <v/>
      </c>
      <c r="F9" s="37">
        <f>IF(F$5=0,0,$B9/F$5)</f>
        <v/>
      </c>
      <c r="G9" s="37">
        <f>IF(G$5=0,0,$B9/G$5)</f>
        <v/>
      </c>
    </row>
    <row r="10">
      <c r="A10" s="36">
        <f>'前提・レバー'!$B$59</f>
        <v/>
      </c>
      <c r="B10" s="32">
        <f>'前提・レバー'!$C$59</f>
        <v/>
      </c>
      <c r="C10" s="37">
        <f>IF(C$5=0,0,$B10/C$5)</f>
        <v/>
      </c>
      <c r="D10" s="37">
        <f>IF(D$5=0,0,$B10/D$5)</f>
        <v/>
      </c>
      <c r="E10" s="37">
        <f>IF(E$5=0,0,$B10/E$5)</f>
        <v/>
      </c>
      <c r="F10" s="37">
        <f>IF(F$5=0,0,$B10/F$5)</f>
        <v/>
      </c>
      <c r="G10" s="37">
        <f>IF(G$5=0,0,$B10/G$5)</f>
        <v/>
      </c>
    </row>
    <row r="11">
      <c r="A11" s="36">
        <f>'前提・レバー'!$B$60</f>
        <v/>
      </c>
      <c r="B11" s="32">
        <f>'前提・レバー'!$C$60</f>
        <v/>
      </c>
      <c r="C11" s="37">
        <f>IF(C$5=0,0,$B11/C$5)</f>
        <v/>
      </c>
      <c r="D11" s="37">
        <f>IF(D$5=0,0,$B11/D$5)</f>
        <v/>
      </c>
      <c r="E11" s="37">
        <f>IF(E$5=0,0,$B11/E$5)</f>
        <v/>
      </c>
      <c r="F11" s="37">
        <f>IF(F$5=0,0,$B11/F$5)</f>
        <v/>
      </c>
      <c r="G11" s="37">
        <f>IF(G$5=0,0,$B11/G$5)</f>
        <v/>
      </c>
    </row>
    <row r="12">
      <c r="A12" s="36">
        <f>'前提・レバー'!$B$61</f>
        <v/>
      </c>
      <c r="B12" s="32">
        <f>'前提・レバー'!$C$61</f>
        <v/>
      </c>
      <c r="C12" s="37">
        <f>IF(C$5=0,0,$B12/C$5)</f>
        <v/>
      </c>
      <c r="D12" s="37">
        <f>IF(D$5=0,0,$B12/D$5)</f>
        <v/>
      </c>
      <c r="E12" s="37">
        <f>IF(E$5=0,0,$B12/E$5)</f>
        <v/>
      </c>
      <c r="F12" s="37">
        <f>IF(F$5=0,0,$B12/F$5)</f>
        <v/>
      </c>
      <c r="G12" s="37">
        <f>IF(G$5=0,0,$B12/G$5)</f>
        <v/>
      </c>
    </row>
    <row r="13">
      <c r="A13" s="36">
        <f>'前提・レバー'!$B$62</f>
        <v/>
      </c>
      <c r="B13" s="32">
        <f>'前提・レバー'!$C$62</f>
        <v/>
      </c>
      <c r="C13" s="37">
        <f>IF(C$5=0,0,$B13/C$5)</f>
        <v/>
      </c>
      <c r="D13" s="37">
        <f>IF(D$5=0,0,$B13/D$5)</f>
        <v/>
      </c>
      <c r="E13" s="37">
        <f>IF(E$5=0,0,$B13/E$5)</f>
        <v/>
      </c>
      <c r="F13" s="37">
        <f>IF(F$5=0,0,$B13/F$5)</f>
        <v/>
      </c>
      <c r="G13" s="37">
        <f>IF(G$5=0,0,$B13/G$5)</f>
        <v/>
      </c>
    </row>
    <row r="14">
      <c r="A14" s="36">
        <f>'前提・レバー'!$B$63</f>
        <v/>
      </c>
      <c r="B14" s="32">
        <f>'前提・レバー'!$C$63</f>
        <v/>
      </c>
      <c r="C14" s="37">
        <f>IF(C$5=0,0,$B14/C$5)</f>
        <v/>
      </c>
      <c r="D14" s="37">
        <f>IF(D$5=0,0,$B14/D$5)</f>
        <v/>
      </c>
      <c r="E14" s="37">
        <f>IF(E$5=0,0,$B14/E$5)</f>
        <v/>
      </c>
      <c r="F14" s="37">
        <f>IF(F$5=0,0,$B14/F$5)</f>
        <v/>
      </c>
      <c r="G14" s="37">
        <f>IF(G$5=0,0,$B14/G$5)</f>
        <v/>
      </c>
    </row>
    <row r="15">
      <c r="A15" s="36">
        <f>'前提・レバー'!$B$64</f>
        <v/>
      </c>
      <c r="B15" s="32">
        <f>'前提・レバー'!$C$64</f>
        <v/>
      </c>
      <c r="C15" s="37">
        <f>IF(C$5=0,0,$B15/C$5)</f>
        <v/>
      </c>
      <c r="D15" s="37">
        <f>IF(D$5=0,0,$B15/D$5)</f>
        <v/>
      </c>
      <c r="E15" s="37">
        <f>IF(E$5=0,0,$B15/E$5)</f>
        <v/>
      </c>
      <c r="F15" s="37">
        <f>IF(F$5=0,0,$B15/F$5)</f>
        <v/>
      </c>
      <c r="G15" s="37">
        <f>IF(G$5=0,0,$B15/G$5)</f>
        <v/>
      </c>
    </row>
    <row r="16">
      <c r="A16" s="36">
        <f>'前提・レバー'!$B$65</f>
        <v/>
      </c>
      <c r="B16" s="32">
        <f>'前提・レバー'!$C$65</f>
        <v/>
      </c>
      <c r="C16" s="37">
        <f>IF(C$5=0,0,$B16/C$5)</f>
        <v/>
      </c>
      <c r="D16" s="37">
        <f>IF(D$5=0,0,$B16/D$5)</f>
        <v/>
      </c>
      <c r="E16" s="37">
        <f>IF(E$5=0,0,$B16/E$5)</f>
        <v/>
      </c>
      <c r="F16" s="37">
        <f>IF(F$5=0,0,$B16/F$5)</f>
        <v/>
      </c>
      <c r="G16" s="37">
        <f>IF(G$5=0,0,$B16/G$5)</f>
        <v/>
      </c>
    </row>
    <row r="17">
      <c r="A17" s="36">
        <f>'前提・レバー'!$B$66</f>
        <v/>
      </c>
      <c r="B17" s="32">
        <f>'前提・レバー'!$C$66</f>
        <v/>
      </c>
      <c r="C17" s="37">
        <f>IF(C$5=0,0,$B17/C$5)</f>
        <v/>
      </c>
      <c r="D17" s="37">
        <f>IF(D$5=0,0,$B17/D$5)</f>
        <v/>
      </c>
      <c r="E17" s="37">
        <f>IF(E$5=0,0,$B17/E$5)</f>
        <v/>
      </c>
      <c r="F17" s="37">
        <f>IF(F$5=0,0,$B17/F$5)</f>
        <v/>
      </c>
      <c r="G17" s="37">
        <f>IF(G$5=0,0,$B17/G$5)</f>
        <v/>
      </c>
    </row>
    <row r="18">
      <c r="A18" s="36">
        <f>'前提・レバー'!$B$67</f>
        <v/>
      </c>
      <c r="B18" s="32">
        <f>'前提・レバー'!$C$67</f>
        <v/>
      </c>
      <c r="C18" s="37">
        <f>IF(C$5=0,0,$B18/C$5)</f>
        <v/>
      </c>
      <c r="D18" s="37">
        <f>IF(D$5=0,0,$B18/D$5)</f>
        <v/>
      </c>
      <c r="E18" s="37">
        <f>IF(E$5=0,0,$B18/E$5)</f>
        <v/>
      </c>
      <c r="F18" s="37">
        <f>IF(F$5=0,0,$B18/F$5)</f>
        <v/>
      </c>
      <c r="G18" s="37">
        <f>IF(G$5=0,0,$B18/G$5)</f>
        <v/>
      </c>
    </row>
    <row r="19">
      <c r="A19" s="36">
        <f>'前提・レバー'!$B$68</f>
        <v/>
      </c>
      <c r="B19" s="32">
        <f>'前提・レバー'!$C$68</f>
        <v/>
      </c>
      <c r="C19" s="37">
        <f>IF(C$5=0,0,$B19/C$5)</f>
        <v/>
      </c>
      <c r="D19" s="37">
        <f>IF(D$5=0,0,$B19/D$5)</f>
        <v/>
      </c>
      <c r="E19" s="37">
        <f>IF(E$5=0,0,$B19/E$5)</f>
        <v/>
      </c>
      <c r="F19" s="37">
        <f>IF(F$5=0,0,$B19/F$5)</f>
        <v/>
      </c>
      <c r="G19" s="37">
        <f>IF(G$5=0,0,$B19/G$5)</f>
        <v/>
      </c>
    </row>
    <row r="20">
      <c r="A20" s="36">
        <f>'前提・レバー'!$B$69</f>
        <v/>
      </c>
      <c r="B20" s="32">
        <f>'前提・レバー'!$C$69</f>
        <v/>
      </c>
      <c r="C20" s="37">
        <f>IF(C$5=0,0,$B20/C$5)</f>
        <v/>
      </c>
      <c r="D20" s="37">
        <f>IF(D$5=0,0,$B20/D$5)</f>
        <v/>
      </c>
      <c r="E20" s="37">
        <f>IF(E$5=0,0,$B20/E$5)</f>
        <v/>
      </c>
      <c r="F20" s="37">
        <f>IF(F$5=0,0,$B20/F$5)</f>
        <v/>
      </c>
      <c r="G20" s="37">
        <f>IF(G$5=0,0,$B20/G$5)</f>
        <v/>
      </c>
    </row>
    <row r="22">
      <c r="A22" s="3" t="inlineStr">
        <is>
          <t>■ 目標バンドの目安（主層基準）</t>
        </is>
      </c>
    </row>
    <row r="23">
      <c r="A23" s="18" t="inlineStr">
        <is>
          <t>・消耗品（反復）: 〜1ヶ月  … 気軽に何度も買える</t>
        </is>
      </c>
    </row>
    <row r="24">
      <c r="A24" s="18" t="inlineStr">
        <is>
          <t>・通行証・中位: 1〜3ヶ月  … 貯めれば手が届く</t>
        </is>
      </c>
    </row>
    <row r="25">
      <c r="A25" s="18" t="inlineStr">
        <is>
          <t>・中ステータス: 3〜6ヶ月  … 目標になる</t>
        </is>
      </c>
    </row>
    <row r="26">
      <c r="A26" s="18" t="inlineStr">
        <is>
          <t>・最上位ステータス: 6〜12ヶ月  … 憧れ・長期目標</t>
        </is>
      </c>
    </row>
    <row r="27">
      <c r="A27" s="18" t="inlineStr">
        <is>
          <t>・12ヶ月超: 原則 価格↓ or 給与↑ を検討</t>
        </is>
      </c>
    </row>
    <row r="28">
      <c r="A28" s="18" t="inlineStr">
        <is>
          <t>・※例外=鯨の蓄財シンク（限定カスタムロール等）: 意図的にバンド外。カジノ大勝ち/蓄財/イベント報酬を吸う最上位プレステージ。主層の取得時間で測らない</t>
        </is>
      </c>
    </row>
    <row r="29">
      <c r="A29" s="18" t="inlineStr">
        <is>
          <t>・※サブスク=通行証（継続課金）: 表の値は『月収の何倍/期の維持費』と読む。&gt;1=収入だけでは維持不可＝富裕層向けの格差ゲート（意図的）</t>
        </is>
      </c>
    </row>
    <row r="30">
      <c r="A30" s="18" t="inlineStr">
        <is>
          <t>・設計原則: 格差はそこそこ許容（給与スプレッド維持・高額財は高く・過度な平準化はしない）</t>
        </is>
      </c>
    </row>
  </sheetData>
  <conditionalFormatting sqref="C6:G20">
    <cfRule type="colorScale" priority="1">
      <colorScale>
        <cfvo type="num" val="0"/>
        <cfvo type="num" val="6"/>
        <cfvo type="num" val="1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収入設計 — 非役職メンバーの稼ぎ口（floor design）</t>
        </is>
      </c>
    </row>
    <row r="2">
      <c r="A2" s="6" t="inlineStr">
        <is>
          <t>日記/招待/ランク報酬/VC は“役職なし”の主稼ぎ。役職持ちと採算をとり、主層に満足できる progression を。青字=設計入力。</t>
        </is>
      </c>
    </row>
    <row r="4">
      <c r="A4" s="9" t="inlineStr">
        <is>
          <t>収入源</t>
        </is>
      </c>
      <c r="B4" s="9" t="inlineStr">
        <is>
          <t>非役職カジュアル</t>
        </is>
      </c>
      <c r="C4" s="9" t="inlineStr">
        <is>
          <t>非役職アクティブ</t>
        </is>
      </c>
      <c r="D4" s="9" t="inlineStr">
        <is>
          <t>役職持ち(1職)</t>
        </is>
      </c>
      <c r="E4" s="9" t="inlineStr">
        <is>
          <t>役職持ち(重ね)</t>
        </is>
      </c>
    </row>
    <row r="5">
      <c r="A5" s="10" t="inlineStr">
        <is>
          <t>階級ベース</t>
        </is>
      </c>
      <c r="B5" s="11" t="n">
        <v>30000</v>
      </c>
      <c r="C5" s="11" t="n">
        <v>30000</v>
      </c>
      <c r="D5" s="11" t="n">
        <v>50000</v>
      </c>
      <c r="E5" s="11" t="n">
        <v>50000</v>
      </c>
    </row>
    <row r="6">
      <c r="A6" s="10" t="inlineStr">
        <is>
          <t>日記報酬</t>
        </is>
      </c>
      <c r="B6" s="11" t="n">
        <v>8000</v>
      </c>
      <c r="C6" s="11" t="n">
        <v>15000</v>
      </c>
      <c r="D6" s="11" t="n">
        <v>10000</v>
      </c>
      <c r="E6" s="11" t="n">
        <v>10000</v>
      </c>
    </row>
    <row r="7">
      <c r="A7" s="10" t="inlineStr">
        <is>
          <t>招待報酬</t>
        </is>
      </c>
      <c r="B7" s="11" t="n">
        <v>0</v>
      </c>
      <c r="C7" s="11" t="n">
        <v>20000</v>
      </c>
      <c r="D7" s="11" t="n">
        <v>10000</v>
      </c>
      <c r="E7" s="11" t="n">
        <v>10000</v>
      </c>
    </row>
    <row r="8">
      <c r="A8" s="10" t="inlineStr">
        <is>
          <t>ランク報酬(月割)</t>
        </is>
      </c>
      <c r="B8" s="11" t="n">
        <v>3000</v>
      </c>
      <c r="C8" s="11" t="n">
        <v>8000</v>
      </c>
      <c r="D8" s="11" t="n">
        <v>5000</v>
      </c>
      <c r="E8" s="11" t="n">
        <v>5000</v>
      </c>
    </row>
    <row r="9">
      <c r="A9" s="10" t="inlineStr">
        <is>
          <t>VC在席</t>
        </is>
      </c>
      <c r="B9" s="11" t="n">
        <v>5000</v>
      </c>
      <c r="C9" s="11" t="n">
        <v>10000</v>
      </c>
      <c r="D9" s="11" t="n">
        <v>8000</v>
      </c>
      <c r="E9" s="11" t="n">
        <v>10000</v>
      </c>
    </row>
    <row r="10">
      <c r="A10" s="10" t="inlineStr">
        <is>
          <t>役職給</t>
        </is>
      </c>
      <c r="B10" s="11" t="n">
        <v>0</v>
      </c>
      <c r="C10" s="11" t="n">
        <v>0</v>
      </c>
      <c r="D10" s="11" t="n">
        <v>50000</v>
      </c>
      <c r="E10" s="11" t="n">
        <v>170000</v>
      </c>
    </row>
    <row r="11">
      <c r="A11" s="10" t="inlineStr">
        <is>
          <t>歩合</t>
        </is>
      </c>
      <c r="B11" s="11" t="n">
        <v>0</v>
      </c>
      <c r="C11" s="11" t="n">
        <v>0</v>
      </c>
      <c r="D11" s="11" t="n">
        <v>0</v>
      </c>
      <c r="E11" s="11" t="n">
        <v>30000</v>
      </c>
    </row>
    <row r="12">
      <c r="A12" s="15" t="inlineStr">
        <is>
          <t>月収 合計</t>
        </is>
      </c>
      <c r="B12" s="16">
        <f>SUM(B5:B11)</f>
        <v/>
      </c>
      <c r="C12" s="16">
        <f>SUM(C5:C11)</f>
        <v/>
      </c>
      <c r="D12" s="16">
        <f>SUM(D5:D11)</f>
        <v/>
      </c>
      <c r="E12" s="16">
        <f>SUM(E5:E11)</f>
        <v/>
      </c>
    </row>
    <row r="13">
      <c r="A13" s="30" t="inlineStr">
        <is>
          <t>対 主層ベース(30k) 倍率</t>
        </is>
      </c>
      <c r="B13" s="38">
        <f>B12/30000</f>
        <v/>
      </c>
      <c r="C13" s="38">
        <f>C12/30000</f>
        <v/>
      </c>
      <c r="D13" s="38">
        <f>D12/30000</f>
        <v/>
      </c>
      <c r="E13" s="38">
        <f>E12/30000</f>
        <v/>
      </c>
    </row>
    <row r="15">
      <c r="A15" s="3" t="inlineStr">
        <is>
          <t>■ 設計方針</t>
        </is>
      </c>
    </row>
    <row r="16">
      <c r="A16" s="18" t="inlineStr">
        <is>
          <t>・非役職カジュアル: 素ベース×1.5前後（軽く触るだけでも上乗せ感）</t>
        </is>
      </c>
    </row>
    <row r="17">
      <c r="A17" s="18" t="inlineStr">
        <is>
          <t>・非役職アクティブ: 素ベース×2.5〜3（日記+招待+昇格で“頑張れば報われる”床）</t>
        </is>
      </c>
    </row>
    <row r="18">
      <c r="A18" s="18" t="inlineStr">
        <is>
          <t>・役職持ちとは更に差 → 格差はそこそこ維持（やりがい＋上を目指す動機）</t>
        </is>
      </c>
    </row>
    <row r="19">
      <c r="A19" s="18" t="inlineStr">
        <is>
          <t>・全faucetは消滅シンク前提＝派手に出してOK。Gil mint総額は前提シートで監視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定員プラン — 各役職を何人雇えるか（予算 vs シンク）</t>
        </is>
      </c>
    </row>
    <row r="2">
      <c r="A2" s="6" t="inlineStr">
        <is>
          <t>青字=入力。役職の定員を変えると残予算が動く。月給/歩合/身分給は前提シートと連動。</t>
        </is>
      </c>
    </row>
    <row r="4">
      <c r="A4" s="15" t="inlineStr">
        <is>
          <t>給与予算 / 月（シンク連動）</t>
        </is>
      </c>
      <c r="B4" s="20" t="n">
        <v>2500000</v>
      </c>
      <c r="C4" s="18" t="inlineStr">
        <is>
          <t>堅い1.3M〜現状2.5M〜カジノ後4M</t>
        </is>
      </c>
    </row>
    <row r="5">
      <c r="A5" s="2" t="inlineStr">
        <is>
          <t>− 身分給（会員数で決まる固定費）</t>
        </is>
      </c>
      <c r="B5" s="22">
        <f>'前提・レバー'!E10</f>
        <v/>
      </c>
    </row>
    <row r="6">
      <c r="A6" s="15" t="inlineStr">
        <is>
          <t>＝ 役職に回せる予算</t>
        </is>
      </c>
      <c r="B6" s="16">
        <f>B4-B5</f>
        <v/>
      </c>
    </row>
    <row r="8">
      <c r="A8" s="9" t="inlineStr">
        <is>
          <t>役職</t>
        </is>
      </c>
      <c r="B8" s="9" t="inlineStr">
        <is>
          <t>月給/人</t>
        </is>
      </c>
      <c r="C8" s="9" t="inlineStr">
        <is>
          <t>定員(計画)</t>
        </is>
      </c>
      <c r="D8" s="9" t="inlineStr">
        <is>
          <t>月額</t>
        </is>
      </c>
    </row>
    <row r="9">
      <c r="A9" s="10" t="inlineStr">
        <is>
          <t>モーセの十戒</t>
        </is>
      </c>
      <c r="B9" s="32">
        <f>'前提・レバー'!C14</f>
        <v/>
      </c>
      <c r="C9" s="39" t="n">
        <v>1</v>
      </c>
      <c r="D9" s="13">
        <f>B9*C9</f>
        <v/>
      </c>
    </row>
    <row r="10">
      <c r="A10" s="10" t="inlineStr">
        <is>
          <t>天銀官</t>
        </is>
      </c>
      <c r="B10" s="32">
        <f>'前提・レバー'!C15</f>
        <v/>
      </c>
      <c r="C10" s="39" t="n">
        <v>1</v>
      </c>
      <c r="D10" s="13">
        <f>B10*C10</f>
        <v/>
      </c>
    </row>
    <row r="11">
      <c r="A11" s="10" t="inlineStr">
        <is>
          <t>星導官</t>
        </is>
      </c>
      <c r="B11" s="32">
        <f>'前提・レバー'!C16</f>
        <v/>
      </c>
      <c r="C11" s="39" t="n">
        <v>6</v>
      </c>
      <c r="D11" s="13">
        <f>B11*C11</f>
        <v/>
      </c>
    </row>
    <row r="12">
      <c r="A12" s="10" t="inlineStr">
        <is>
          <t>審星官・特級</t>
        </is>
      </c>
      <c r="B12" s="32">
        <f>'前提・レバー'!C17</f>
        <v/>
      </c>
      <c r="C12" s="39" t="n">
        <v>1</v>
      </c>
      <c r="D12" s="13">
        <f>B12*C12</f>
        <v/>
      </c>
    </row>
    <row r="13">
      <c r="A13" s="10" t="inlineStr">
        <is>
          <t>審星官・Ⅰ級</t>
        </is>
      </c>
      <c r="B13" s="32">
        <f>'前提・レバー'!C18</f>
        <v/>
      </c>
      <c r="C13" s="39" t="n">
        <v>1</v>
      </c>
      <c r="D13" s="13">
        <f>B13*C13</f>
        <v/>
      </c>
    </row>
    <row r="14">
      <c r="A14" s="10" t="inlineStr">
        <is>
          <t>審星官・Ⅱ級</t>
        </is>
      </c>
      <c r="B14" s="32">
        <f>'前提・レバー'!C19</f>
        <v/>
      </c>
      <c r="C14" s="39" t="n">
        <v>2</v>
      </c>
      <c r="D14" s="13">
        <f>B14*C14</f>
        <v/>
      </c>
    </row>
    <row r="15">
      <c r="A15" s="10" t="inlineStr">
        <is>
          <t>審星官・Ⅲ級</t>
        </is>
      </c>
      <c r="B15" s="32">
        <f>'前提・レバー'!C20</f>
        <v/>
      </c>
      <c r="C15" s="39" t="n">
        <v>2</v>
      </c>
      <c r="D15" s="13">
        <f>B15*C15</f>
        <v/>
      </c>
    </row>
    <row r="16">
      <c r="A16" s="10" t="inlineStr">
        <is>
          <t>審星官・見習い</t>
        </is>
      </c>
      <c r="B16" s="32">
        <f>'前提・レバー'!C21</f>
        <v/>
      </c>
      <c r="C16" s="39" t="n">
        <v>3</v>
      </c>
      <c r="D16" s="13">
        <f>B16*C16</f>
        <v/>
      </c>
    </row>
    <row r="17">
      <c r="A17" s="10" t="inlineStr">
        <is>
          <t>星祭官</t>
        </is>
      </c>
      <c r="B17" s="32">
        <f>'前提・レバー'!C22</f>
        <v/>
      </c>
      <c r="C17" s="39" t="n">
        <v>1</v>
      </c>
      <c r="D17" s="13">
        <f>B17*C17</f>
        <v/>
      </c>
    </row>
    <row r="18">
      <c r="A18" s="10" t="inlineStr">
        <is>
          <t>印章官</t>
        </is>
      </c>
      <c r="B18" s="32">
        <f>'前提・レバー'!C23</f>
        <v/>
      </c>
      <c r="C18" s="39" t="n">
        <v>1</v>
      </c>
      <c r="D18" s="13">
        <f>B18*C18</f>
        <v/>
      </c>
    </row>
    <row r="19">
      <c r="A19" s="10" t="inlineStr">
        <is>
          <t>星商官</t>
        </is>
      </c>
      <c r="B19" s="32">
        <f>'前提・レバー'!C24</f>
        <v/>
      </c>
      <c r="C19" s="39" t="n">
        <v>1</v>
      </c>
      <c r="D19" s="13">
        <f>B19*C19</f>
        <v/>
      </c>
    </row>
    <row r="20">
      <c r="A20" s="10" t="inlineStr">
        <is>
          <t>幻戯官</t>
        </is>
      </c>
      <c r="B20" s="32">
        <f>'前提・レバー'!C25</f>
        <v/>
      </c>
      <c r="C20" s="39" t="n">
        <v>1</v>
      </c>
      <c r="D20" s="13">
        <f>B20*C20</f>
        <v/>
      </c>
    </row>
    <row r="21">
      <c r="A21" s="10" t="inlineStr">
        <is>
          <t>失星官</t>
        </is>
      </c>
      <c r="B21" s="32">
        <f>'前提・レバー'!C26</f>
        <v/>
      </c>
      <c r="C21" s="39" t="n">
        <v>1</v>
      </c>
      <c r="D21" s="13">
        <f>B21*C21</f>
        <v/>
      </c>
    </row>
    <row r="22">
      <c r="A22" s="10" t="inlineStr">
        <is>
          <t>贖罪官</t>
        </is>
      </c>
      <c r="B22" s="32">
        <f>'前提・レバー'!C27</f>
        <v/>
      </c>
      <c r="C22" s="39" t="n">
        <v>1</v>
      </c>
      <c r="D22" s="13">
        <f>B22*C22</f>
        <v/>
      </c>
    </row>
    <row r="23">
      <c r="A23" s="10" t="inlineStr">
        <is>
          <t>星賭官</t>
        </is>
      </c>
      <c r="B23" s="32">
        <f>'前提・レバー'!C28</f>
        <v/>
      </c>
      <c r="C23" s="39" t="n">
        <v>1</v>
      </c>
      <c r="D23" s="13">
        <f>B23*C23</f>
        <v/>
      </c>
    </row>
    <row r="24">
      <c r="A24" s="10" t="inlineStr">
        <is>
          <t>18禁</t>
        </is>
      </c>
      <c r="B24" s="32">
        <f>'前提・レバー'!C29</f>
        <v/>
      </c>
      <c r="C24" s="39" t="n">
        <v>0</v>
      </c>
      <c r="D24" s="13">
        <f>B24*C24</f>
        <v/>
      </c>
    </row>
    <row r="25">
      <c r="A25" s="18" t="inlineStr">
        <is>
          <t>※星導官=完全歩合(基本給0)。定員を増やしても固定費0・働いた分のみ上限12万/人</t>
        </is>
      </c>
    </row>
    <row r="26">
      <c r="A26" s="15" t="inlineStr">
        <is>
          <t>役職コスト 計</t>
        </is>
      </c>
      <c r="D26" s="26">
        <f>SUM(D9:D24)</f>
        <v/>
      </c>
    </row>
    <row r="27">
      <c r="A27" s="2" t="inlineStr">
        <is>
          <t>＋歩合（評価+星導+星賭）</t>
        </is>
      </c>
      <c r="D27" s="22">
        <f>'前提・レバー'!E47+'前提・レバー'!E48+'前提・レバー'!E49</f>
        <v/>
      </c>
    </row>
    <row r="28">
      <c r="A28" s="15" t="inlineStr">
        <is>
          <t>残予算（役職予算−コスト−歩合）</t>
        </is>
      </c>
      <c r="D28" s="26">
        <f>B6-D26-D27</f>
        <v/>
      </c>
    </row>
    <row r="30">
      <c r="A30" s="3" t="inlineStr">
        <is>
          <t>■ 読み方</t>
        </is>
      </c>
    </row>
    <row r="31">
      <c r="A31" s="18" t="inlineStr">
        <is>
          <t>・身分給(会員数)が先に予算を食う → 役職は“その残り”で雇う</t>
        </is>
      </c>
    </row>
    <row r="32">
      <c r="A32" s="18" t="inlineStr">
        <is>
          <t>・残予算マイナス＝シンク不足。カジノ接続 or サブスク増 or 会員増で枠が開く</t>
        </is>
      </c>
    </row>
    <row r="33">
      <c r="A33" s="18" t="inlineStr">
        <is>
          <t>・星導官は完全歩合＝定員を増やしても固定費は増えない（働いた分のみ）</t>
        </is>
      </c>
    </row>
  </sheetData>
  <conditionalFormatting sqref="D2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2026-06-03T05:58:48Z</dcterms:created>
  <dcterms:modified xsi:type="dcterms:W3CDTF">2026-06-03T05:58:49Z</dcterms:modified>
</cp:coreProperties>
</file>