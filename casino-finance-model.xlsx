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前提・レバー" sheetId="2" state="visible" r:id="rId2"/>
    <sheet name="Gil経済" sheetId="3" state="visible" r:id="rId3"/>
    <sheet name="エテル経済" sheetId="4" state="visible" r:id="rId4"/>
    <sheet name="見通し" sheetId="5" state="visible" r:id="rId5"/>
    <sheet name="ダッシュボー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Meiryo"/>
      <b val="1"/>
      <color rgb="001F3864"/>
      <sz val="14"/>
    </font>
    <font>
      <name val="Meiryo"/>
      <color rgb="00000000"/>
      <sz val="10"/>
    </font>
    <font>
      <name val="Meiryo"/>
      <b val="1"/>
      <color rgb="001F3864"/>
      <sz val="10"/>
    </font>
    <font>
      <name val="Meiryo"/>
      <color rgb="000000FF"/>
      <sz val="10"/>
    </font>
    <font>
      <name val="Meiryo"/>
      <i val="1"/>
      <color rgb="00808080"/>
      <sz val="10"/>
    </font>
    <font>
      <name val="Meiryo"/>
      <b val="1"/>
      <color rgb="00FFFFFF"/>
      <sz val="10"/>
    </font>
    <font>
      <name val="Meiryo"/>
      <color rgb="00808080"/>
      <sz val="9"/>
    </font>
    <font>
      <name val="Meiryo"/>
      <b val="1"/>
      <color rgb="00000000"/>
      <sz val="10"/>
    </font>
    <font>
      <name val="Meiryo"/>
      <color rgb="00008000"/>
      <sz val="10"/>
    </font>
    <font>
      <name val="Meiryo"/>
      <i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4" fillId="0" borderId="1" pivotButton="0" quotePrefix="0" xfId="0"/>
    <xf numFmtId="164" fontId="4" fillId="2" borderId="1" pivotButton="0" quotePrefix="0" xfId="0"/>
    <xf numFmtId="164" fontId="2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164" fontId="8" fillId="3" borderId="0" pivotButton="0" quotePrefix="0" xfId="0"/>
    <xf numFmtId="164" fontId="4" fillId="0" borderId="0" pivotButton="0" quotePrefix="0" xfId="0"/>
    <xf numFmtId="0" fontId="7" fillId="0" borderId="0" pivotButton="0" quotePrefix="0" xfId="0"/>
    <xf numFmtId="165" fontId="4" fillId="0" borderId="0" pivotButton="0" quotePrefix="0" xfId="0"/>
    <xf numFmtId="164" fontId="4" fillId="2" borderId="0" pivotButton="0" quotePrefix="0" xfId="0"/>
    <xf numFmtId="3" fontId="4" fillId="0" borderId="0" pivotButton="0" quotePrefix="0" xfId="0"/>
    <xf numFmtId="164" fontId="9" fillId="0" borderId="0" pivotButton="0" quotePrefix="0" xfId="0"/>
    <xf numFmtId="0" fontId="8" fillId="3" borderId="0" pivotButton="0" quotePrefix="0" xfId="0"/>
    <xf numFmtId="0" fontId="8" fillId="5" borderId="0" pivotButton="0" quotePrefix="0" xfId="0"/>
    <xf numFmtId="164" fontId="8" fillId="5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4" fontId="2" fillId="0" borderId="0" pivotButton="0" quotePrefix="0" xfId="0"/>
    <xf numFmtId="0" fontId="7" fillId="2" borderId="0" pivotButton="0" quotePrefix="0" xfId="0"/>
    <xf numFmtId="0" fontId="10" fillId="0" borderId="0" pivotButton="0" quotePrefix="0" xfId="0"/>
    <xf numFmtId="0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</cols>
  <sheetData>
    <row r="2">
      <c r="B2" s="1" t="inlineStr">
        <is>
          <t>星約の賭場 — 二通貨経済 財務モデル（骨格 v0.1）</t>
        </is>
      </c>
    </row>
    <row r="4">
      <c r="B4" s="2" t="inlineStr">
        <is>
          <t>目的：第一通貨 Gil と 第二通貨 エテル(◈) の流入/シンクが横断で釣り合うかを見て、</t>
        </is>
      </c>
    </row>
    <row r="5">
      <c r="B5" s="2" t="inlineStr">
        <is>
          <t xml:space="preserve">　　　給与・ショップ価格・為替レートを“設計・最適化”するための盤面。</t>
        </is>
      </c>
    </row>
    <row r="7">
      <c r="B7" s="3" t="inlineStr">
        <is>
          <t>■ 使い方</t>
        </is>
      </c>
    </row>
    <row r="8">
      <c r="B8" s="2" t="inlineStr">
        <is>
          <t xml:space="preserve">　1. 「前提・レバー」シートの青字・黄色セルを埋める/弄る（人数・価格・レート等）。</t>
        </is>
      </c>
    </row>
    <row r="9">
      <c r="B9" s="2" t="inlineStr">
        <is>
          <t xml:space="preserve">　2. 「Gil経済」「エテル経済」が月次の mint/sink を自動計算。</t>
        </is>
      </c>
    </row>
    <row r="10">
      <c r="B10" s="2" t="inlineStr">
        <is>
          <t xml:space="preserve">　3. 「見通し」が12ヶ月先の供給推移、「ダッシュボード」が要点を表示。</t>
        </is>
      </c>
    </row>
    <row r="12">
      <c r="B12" s="3" t="inlineStr">
        <is>
          <t>■ 色の意味</t>
        </is>
      </c>
    </row>
    <row r="13">
      <c r="B13" s="4" t="inlineStr">
        <is>
          <t xml:space="preserve">　青字 = 手で入れる入力値（シナリオで変える）</t>
        </is>
      </c>
    </row>
    <row r="14">
      <c r="B14" s="2" t="inlineStr">
        <is>
          <t xml:space="preserve">　黒字 = 計算式　／　緑字 = 他シート参照</t>
        </is>
      </c>
      <c r="D14" t="inlineStr"/>
    </row>
    <row r="15">
      <c r="B15" s="5" t="inlineStr">
        <is>
          <t xml:space="preserve">　黄色セル = 要差し替え（Gill側に依頼 or 未定の値）</t>
        </is>
      </c>
    </row>
    <row r="17">
      <c r="B17" s="3" t="inlineStr">
        <is>
          <t>■ データの出どころ（役割分担）</t>
        </is>
      </c>
    </row>
    <row r="18">
      <c r="B18" s="2" t="inlineStr">
        <is>
          <t xml:space="preserve">　エテル経済の実績 → うちのBotがスナップショット抽出</t>
        </is>
      </c>
    </row>
    <row r="19">
      <c r="B19" s="2" t="inlineStr">
        <is>
          <t xml:space="preserve">　Gil経済の実績   → Gill側Botがスナップショット提供（要依頼）</t>
        </is>
      </c>
    </row>
    <row r="20">
      <c r="B20" s="2" t="inlineStr">
        <is>
          <t xml:space="preserve">　値段/レートの決定 → 俺ら（経理課）＝このモデルで判断</t>
        </is>
      </c>
    </row>
    <row r="22">
      <c r="B22" s="3" t="inlineStr">
        <is>
          <t>■ 主要レバー（このモデルで我々が動かす）</t>
        </is>
      </c>
    </row>
    <row r="23">
      <c r="B23" s="2" t="inlineStr">
        <is>
          <t xml:space="preserve">　① 為替レート（Gil:エテル）　② 還光率（現状20%）</t>
        </is>
      </c>
    </row>
    <row r="24">
      <c r="B24" s="2" t="inlineStr">
        <is>
          <t xml:space="preserve">　③ ショップ価格（Gilシンク）　④ 福分け・ハウスエッジ等カジノ内パラメータ</t>
        </is>
      </c>
    </row>
    <row r="26">
      <c r="B26" s="2" t="inlineStr">
        <is>
          <t>作成: 経理課 / 2026-06　｜　給与表 出典: サーバー「給与一覧」2026-05-28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前提・レバー（入力シート）</t>
        </is>
      </c>
    </row>
    <row r="2">
      <c r="A2" s="6" t="inlineStr">
        <is>
          <t>青字=入力 / 黄色=要差し替え。月額 = 単価 × 人数(件数/量)。</t>
        </is>
      </c>
    </row>
    <row r="4">
      <c r="A4" s="7" t="inlineStr">
        <is>
          <t>Gil 流入①：給与（階級ロール・1人1つ）</t>
        </is>
      </c>
      <c r="B4" s="8" t="n"/>
      <c r="C4" s="8" t="n"/>
      <c r="D4" s="8" t="n"/>
      <c r="E4" s="8" t="n"/>
      <c r="F4" s="8" t="n"/>
    </row>
    <row r="5">
      <c r="A5" s="9" t="inlineStr">
        <is>
          <t>区分</t>
        </is>
      </c>
      <c r="B5" s="9" t="inlineStr">
        <is>
          <t>項目</t>
        </is>
      </c>
      <c r="C5" s="9" t="inlineStr">
        <is>
          <t>単価/給与</t>
        </is>
      </c>
      <c r="D5" s="9" t="inlineStr">
        <is>
          <t>人数/件数/量</t>
        </is>
      </c>
      <c r="E5" s="9" t="inlineStr">
        <is>
          <t>月額</t>
        </is>
      </c>
      <c r="F5" s="9" t="inlineStr">
        <is>
          <t>備考・データ源</t>
        </is>
      </c>
    </row>
    <row r="6">
      <c r="A6" s="10" t="inlineStr">
        <is>
          <t>階級</t>
        </is>
      </c>
      <c r="B6" s="10" t="inlineStr">
        <is>
          <t>星約者</t>
        </is>
      </c>
      <c r="C6" s="11" t="n">
        <v>50000</v>
      </c>
      <c r="D6" s="12" t="n">
        <v>10</v>
      </c>
      <c r="E6" s="13">
        <f>C6*D6</f>
        <v/>
      </c>
      <c r="F6" s="14" t="inlineStr">
        <is>
          <t>出典:給与一覧</t>
        </is>
      </c>
    </row>
    <row r="7">
      <c r="A7" s="10" t="inlineStr">
        <is>
          <t>階級</t>
        </is>
      </c>
      <c r="B7" s="10" t="inlineStr">
        <is>
          <t>巡星者</t>
        </is>
      </c>
      <c r="C7" s="11" t="n">
        <v>30000</v>
      </c>
      <c r="D7" s="12" t="n">
        <v>15</v>
      </c>
      <c r="E7" s="13">
        <f>C7*D7</f>
        <v/>
      </c>
      <c r="F7" s="14" t="inlineStr">
        <is>
          <t>出典:給与一覧</t>
        </is>
      </c>
    </row>
    <row r="8">
      <c r="A8" s="10" t="inlineStr">
        <is>
          <t>階級</t>
        </is>
      </c>
      <c r="B8" s="10" t="inlineStr">
        <is>
          <t>堕星者</t>
        </is>
      </c>
      <c r="C8" s="11" t="n">
        <v>20000</v>
      </c>
      <c r="D8" s="12" t="n">
        <v>8</v>
      </c>
      <c r="E8" s="13">
        <f>C8*D8</f>
        <v/>
      </c>
      <c r="F8" s="14" t="inlineStr">
        <is>
          <t>出典:給与一覧</t>
        </is>
      </c>
    </row>
    <row r="9">
      <c r="A9" s="10" t="inlineStr">
        <is>
          <t>階級</t>
        </is>
      </c>
      <c r="B9" s="10" t="inlineStr">
        <is>
          <t>背律者</t>
        </is>
      </c>
      <c r="C9" s="11" t="n">
        <v>0</v>
      </c>
      <c r="D9" s="12" t="n">
        <v>3</v>
      </c>
      <c r="E9" s="13">
        <f>C9*D9</f>
        <v/>
      </c>
      <c r="F9" s="14" t="inlineStr">
        <is>
          <t>出典:給与一覧(編集済0)</t>
        </is>
      </c>
    </row>
    <row r="10">
      <c r="B10" s="15" t="inlineStr">
        <is>
          <t>小計（給与_階級）</t>
        </is>
      </c>
      <c r="E10" s="16">
        <f>SUM(E6:E9)</f>
        <v/>
      </c>
    </row>
    <row r="12">
      <c r="A12" s="7" t="inlineStr">
        <is>
          <t>Gil 流入②：給与（役職ロール・重複可・固定分のみ）</t>
        </is>
      </c>
      <c r="B12" s="8" t="n"/>
      <c r="C12" s="8" t="n"/>
      <c r="D12" s="8" t="n"/>
      <c r="E12" s="8" t="n"/>
      <c r="F12" s="8" t="n"/>
    </row>
    <row r="13">
      <c r="A13" s="9" t="inlineStr">
        <is>
          <t>区分</t>
        </is>
      </c>
      <c r="B13" s="9" t="inlineStr">
        <is>
          <t>項目</t>
        </is>
      </c>
      <c r="C13" s="9" t="inlineStr">
        <is>
          <t>単価/給与</t>
        </is>
      </c>
      <c r="D13" s="9" t="inlineStr">
        <is>
          <t>人数/件数/量</t>
        </is>
      </c>
      <c r="E13" s="9" t="inlineStr">
        <is>
          <t>月額</t>
        </is>
      </c>
      <c r="F13" s="9" t="inlineStr">
        <is>
          <t>備考・データ源</t>
        </is>
      </c>
    </row>
    <row r="14">
      <c r="A14" s="10" t="inlineStr">
        <is>
          <t>役職</t>
        </is>
      </c>
      <c r="B14" s="10" t="inlineStr">
        <is>
          <t>モーセの十戒</t>
        </is>
      </c>
      <c r="C14" s="11" t="n">
        <v>150000</v>
      </c>
      <c r="D14" s="12" t="n">
        <v>1</v>
      </c>
      <c r="E14" s="13">
        <f>C14*D14</f>
        <v/>
      </c>
      <c r="F14" s="14" t="inlineStr">
        <is>
          <t>固定</t>
        </is>
      </c>
    </row>
    <row r="15">
      <c r="A15" s="10" t="inlineStr">
        <is>
          <t>役職</t>
        </is>
      </c>
      <c r="B15" s="10" t="inlineStr">
        <is>
          <t>星導官</t>
        </is>
      </c>
      <c r="C15" s="11" t="n">
        <v>50000</v>
      </c>
      <c r="D15" s="12" t="n">
        <v>2</v>
      </c>
      <c r="E15" s="13">
        <f>C15*D15</f>
        <v/>
      </c>
      <c r="F15" s="14" t="inlineStr">
        <is>
          <t>＋3000×面接回数(変動別枠)</t>
        </is>
      </c>
    </row>
    <row r="16">
      <c r="A16" s="10" t="inlineStr">
        <is>
          <t>役職</t>
        </is>
      </c>
      <c r="B16" s="10" t="inlineStr">
        <is>
          <t>審星官・特級</t>
        </is>
      </c>
      <c r="C16" s="11" t="n">
        <v>80000</v>
      </c>
      <c r="D16" s="12" t="n">
        <v>1</v>
      </c>
      <c r="E16" s="13">
        <f>C16*D16</f>
        <v/>
      </c>
      <c r="F16" s="14" t="inlineStr">
        <is>
          <t>＋歩合(変動別枠)</t>
        </is>
      </c>
    </row>
    <row r="17">
      <c r="A17" s="10" t="inlineStr">
        <is>
          <t>役職</t>
        </is>
      </c>
      <c r="B17" s="10" t="inlineStr">
        <is>
          <t>審星官・Ⅰ級</t>
        </is>
      </c>
      <c r="C17" s="11" t="n">
        <v>50000</v>
      </c>
      <c r="D17" s="12" t="n">
        <v>1</v>
      </c>
      <c r="E17" s="13">
        <f>C17*D17</f>
        <v/>
      </c>
      <c r="F17" s="14" t="inlineStr">
        <is>
          <t>＋歩合</t>
        </is>
      </c>
    </row>
    <row r="18">
      <c r="A18" s="10" t="inlineStr">
        <is>
          <t>役職</t>
        </is>
      </c>
      <c r="B18" s="10" t="inlineStr">
        <is>
          <t>審星官・Ⅱ級</t>
        </is>
      </c>
      <c r="C18" s="11" t="n">
        <v>30000</v>
      </c>
      <c r="D18" s="12" t="n">
        <v>2</v>
      </c>
      <c r="E18" s="13">
        <f>C18*D18</f>
        <v/>
      </c>
      <c r="F18" s="14" t="inlineStr">
        <is>
          <t>＋歩合</t>
        </is>
      </c>
    </row>
    <row r="19">
      <c r="A19" s="10" t="inlineStr">
        <is>
          <t>役職</t>
        </is>
      </c>
      <c r="B19" s="10" t="inlineStr">
        <is>
          <t>審星官・Ⅲ級</t>
        </is>
      </c>
      <c r="C19" s="11" t="n">
        <v>20000</v>
      </c>
      <c r="D19" s="12" t="n">
        <v>2</v>
      </c>
      <c r="E19" s="13">
        <f>C19*D19</f>
        <v/>
      </c>
      <c r="F19" s="14" t="inlineStr">
        <is>
          <t>＋歩合</t>
        </is>
      </c>
    </row>
    <row r="20">
      <c r="A20" s="10" t="inlineStr">
        <is>
          <t>役職</t>
        </is>
      </c>
      <c r="B20" s="10" t="inlineStr">
        <is>
          <t>審星官・見習い</t>
        </is>
      </c>
      <c r="C20" s="11" t="n">
        <v>10000</v>
      </c>
      <c r="D20" s="12" t="n">
        <v>3</v>
      </c>
      <c r="E20" s="13">
        <f>C20*D20</f>
        <v/>
      </c>
      <c r="F20" s="14" t="inlineStr">
        <is>
          <t>＋歩合</t>
        </is>
      </c>
    </row>
    <row r="21">
      <c r="A21" s="10" t="inlineStr">
        <is>
          <t>役職</t>
        </is>
      </c>
      <c r="B21" s="10" t="inlineStr">
        <is>
          <t>星祭官</t>
        </is>
      </c>
      <c r="C21" s="11" t="n">
        <v>50000</v>
      </c>
      <c r="D21" s="12" t="n">
        <v>1</v>
      </c>
      <c r="E21" s="13">
        <f>C21*D21</f>
        <v/>
      </c>
      <c r="F21" s="14" t="inlineStr">
        <is>
          <t>固定</t>
        </is>
      </c>
    </row>
    <row r="22">
      <c r="A22" s="10" t="inlineStr">
        <is>
          <t>役職</t>
        </is>
      </c>
      <c r="B22" s="10" t="inlineStr">
        <is>
          <t>印章官</t>
        </is>
      </c>
      <c r="C22" s="11" t="n">
        <v>50000</v>
      </c>
      <c r="D22" s="12" t="n">
        <v>1</v>
      </c>
      <c r="E22" s="13">
        <f>C22*D22</f>
        <v/>
      </c>
      <c r="F22" s="14" t="inlineStr">
        <is>
          <t>＋個人依頼＋鯖スタンプ×10000</t>
        </is>
      </c>
    </row>
    <row r="23">
      <c r="A23" s="10" t="inlineStr">
        <is>
          <t>役職</t>
        </is>
      </c>
      <c r="B23" s="10" t="inlineStr">
        <is>
          <t>星商官</t>
        </is>
      </c>
      <c r="C23" s="11" t="n">
        <v>50000</v>
      </c>
      <c r="D23" s="12" t="n">
        <v>1</v>
      </c>
      <c r="E23" s="13">
        <f>C23*D23</f>
        <v/>
      </c>
      <c r="F23" s="14" t="inlineStr">
        <is>
          <t>固定</t>
        </is>
      </c>
    </row>
    <row r="24">
      <c r="A24" s="10" t="inlineStr">
        <is>
          <t>役職</t>
        </is>
      </c>
      <c r="B24" s="10" t="inlineStr">
        <is>
          <t>幻戯官</t>
        </is>
      </c>
      <c r="C24" s="11" t="n">
        <v>50000</v>
      </c>
      <c r="D24" s="12" t="n">
        <v>1</v>
      </c>
      <c r="E24" s="13">
        <f>C24*D24</f>
        <v/>
      </c>
      <c r="F24" s="14" t="inlineStr">
        <is>
          <t>固定</t>
        </is>
      </c>
    </row>
    <row r="25">
      <c r="A25" s="10" t="inlineStr">
        <is>
          <t>役職</t>
        </is>
      </c>
      <c r="B25" s="10" t="inlineStr">
        <is>
          <t>失星官</t>
        </is>
      </c>
      <c r="C25" s="11" t="n">
        <v>30000</v>
      </c>
      <c r="D25" s="12" t="n">
        <v>1</v>
      </c>
      <c r="E25" s="13">
        <f>C25*D25</f>
        <v/>
      </c>
      <c r="F25" s="14" t="inlineStr">
        <is>
          <t>固定</t>
        </is>
      </c>
    </row>
    <row r="26">
      <c r="A26" s="10" t="inlineStr">
        <is>
          <t>役職</t>
        </is>
      </c>
      <c r="B26" s="10" t="inlineStr">
        <is>
          <t>贖罪官</t>
        </is>
      </c>
      <c r="C26" s="11" t="n">
        <v>30000</v>
      </c>
      <c r="D26" s="12" t="n">
        <v>1</v>
      </c>
      <c r="E26" s="13">
        <f>C26*D26</f>
        <v/>
      </c>
      <c r="F26" s="14" t="inlineStr">
        <is>
          <t>固定</t>
        </is>
      </c>
    </row>
    <row r="27">
      <c r="A27" s="10" t="inlineStr">
        <is>
          <t>役職</t>
        </is>
      </c>
      <c r="B27" s="10" t="inlineStr">
        <is>
          <t>星賭官</t>
        </is>
      </c>
      <c r="C27" s="11" t="n">
        <v>20000</v>
      </c>
      <c r="D27" s="12" t="n">
        <v>1</v>
      </c>
      <c r="E27" s="13">
        <f>C27*D27</f>
        <v/>
      </c>
      <c r="F27" s="14" t="inlineStr">
        <is>
          <t>＋勝ち×500(変動別枠)</t>
        </is>
      </c>
    </row>
    <row r="28">
      <c r="A28" s="10" t="inlineStr">
        <is>
          <t>役職</t>
        </is>
      </c>
      <c r="B28" s="10" t="inlineStr">
        <is>
          <t>天銀官</t>
        </is>
      </c>
      <c r="C28" s="11" t="n">
        <v>70000</v>
      </c>
      <c r="D28" s="12" t="n">
        <v>1</v>
      </c>
      <c r="E28" s="13">
        <f>C28*D28</f>
        <v/>
      </c>
      <c r="F28" s="14" t="inlineStr">
        <is>
          <t>固定</t>
        </is>
      </c>
    </row>
    <row r="29">
      <c r="A29" s="10" t="inlineStr">
        <is>
          <t>役職</t>
        </is>
      </c>
      <c r="B29" s="10" t="inlineStr">
        <is>
          <t>18禁</t>
        </is>
      </c>
      <c r="C29" s="12" t="n">
        <v>0</v>
      </c>
      <c r="D29" s="12" t="n">
        <v>0</v>
      </c>
      <c r="E29" s="13">
        <f>C29*D29</f>
        <v/>
      </c>
      <c r="F29" s="14" t="inlineStr">
        <is>
          <t>完全依頼制(変動)</t>
        </is>
      </c>
    </row>
    <row r="30">
      <c r="B30" s="15" t="inlineStr">
        <is>
          <t>小計（給与_役職）</t>
        </is>
      </c>
      <c r="E30" s="16">
        <f>SUM(E14:E29)</f>
        <v/>
      </c>
    </row>
    <row r="32">
      <c r="A32" s="7" t="inlineStr">
        <is>
          <t>Gil 流入③：給与（運営・Secret／含めると経済は健全側）</t>
        </is>
      </c>
      <c r="B32" s="8" t="n"/>
      <c r="C32" s="8" t="n"/>
      <c r="D32" s="8" t="n"/>
      <c r="E32" s="8" t="n"/>
      <c r="F32" s="8" t="n"/>
    </row>
    <row r="33">
      <c r="A33" s="9" t="inlineStr">
        <is>
          <t>区分</t>
        </is>
      </c>
      <c r="B33" s="9" t="inlineStr">
        <is>
          <t>項目</t>
        </is>
      </c>
      <c r="C33" s="9" t="inlineStr">
        <is>
          <t>単価/給与</t>
        </is>
      </c>
      <c r="D33" s="9" t="inlineStr">
        <is>
          <t>人数/件数/量</t>
        </is>
      </c>
      <c r="E33" s="9" t="inlineStr">
        <is>
          <t>月額</t>
        </is>
      </c>
      <c r="F33" s="9" t="inlineStr">
        <is>
          <t>備考・データ源</t>
        </is>
      </c>
    </row>
    <row r="34">
      <c r="A34" s="10" t="inlineStr">
        <is>
          <t>運営</t>
        </is>
      </c>
      <c r="B34" s="10" t="inlineStr">
        <is>
          <t>原初星</t>
        </is>
      </c>
      <c r="C34" s="12" t="n">
        <v>0</v>
      </c>
      <c r="D34" s="12" t="n">
        <v>1</v>
      </c>
      <c r="E34" s="13">
        <f>C34*D34</f>
        <v/>
      </c>
      <c r="F34" s="14" t="inlineStr">
        <is>
          <t>Secret＝要Gill</t>
        </is>
      </c>
    </row>
    <row r="35">
      <c r="A35" s="10" t="inlineStr">
        <is>
          <t>運営</t>
        </is>
      </c>
      <c r="B35" s="10" t="inlineStr">
        <is>
          <t>七星</t>
        </is>
      </c>
      <c r="C35" s="12" t="n">
        <v>0</v>
      </c>
      <c r="D35" s="12" t="n">
        <v>1</v>
      </c>
      <c r="E35" s="13">
        <f>C35*D35</f>
        <v/>
      </c>
      <c r="F35" s="14" t="inlineStr">
        <is>
          <t>Secret＝要Gill</t>
        </is>
      </c>
    </row>
    <row r="36">
      <c r="A36" s="10" t="inlineStr">
        <is>
          <t>運営</t>
        </is>
      </c>
      <c r="B36" s="10" t="inlineStr">
        <is>
          <t>叛逆者</t>
        </is>
      </c>
      <c r="C36" s="12" t="n">
        <v>0</v>
      </c>
      <c r="D36" s="12" t="n">
        <v>1</v>
      </c>
      <c r="E36" s="13">
        <f>C36*D36</f>
        <v/>
      </c>
      <c r="F36" s="14" t="inlineStr">
        <is>
          <t>Secret＝要Gill</t>
        </is>
      </c>
    </row>
    <row r="37">
      <c r="A37" s="10" t="inlineStr">
        <is>
          <t>運営</t>
        </is>
      </c>
      <c r="B37" s="10" t="inlineStr">
        <is>
          <t>執行官</t>
        </is>
      </c>
      <c r="C37" s="12" t="n">
        <v>0</v>
      </c>
      <c r="D37" s="12" t="n">
        <v>1</v>
      </c>
      <c r="E37" s="13">
        <f>C37*D37</f>
        <v/>
      </c>
      <c r="F37" s="14" t="inlineStr">
        <is>
          <t>Secret＝要Gill</t>
        </is>
      </c>
    </row>
    <row r="38">
      <c r="B38" s="15" t="inlineStr">
        <is>
          <t>小計（給与_運営）</t>
        </is>
      </c>
      <c r="E38" s="16">
        <f>SUM(E34:E37)</f>
        <v/>
      </c>
    </row>
    <row r="40">
      <c r="A40" s="7" t="inlineStr">
        <is>
          <t>Gil 流入④：給与以外（Gill運用・額/頻度は要Gill or 我々が最適化）</t>
        </is>
      </c>
      <c r="B40" s="8" t="n"/>
      <c r="C40" s="8" t="n"/>
      <c r="D40" s="8" t="n"/>
      <c r="E40" s="8" t="n"/>
      <c r="F40" s="8" t="n"/>
    </row>
    <row r="41">
      <c r="A41" s="9" t="inlineStr">
        <is>
          <t>区分</t>
        </is>
      </c>
      <c r="B41" s="9" t="inlineStr">
        <is>
          <t>項目</t>
        </is>
      </c>
      <c r="C41" s="9" t="inlineStr">
        <is>
          <t>単価/給与</t>
        </is>
      </c>
      <c r="D41" s="9" t="inlineStr">
        <is>
          <t>人数/件数/量</t>
        </is>
      </c>
      <c r="E41" s="9" t="inlineStr">
        <is>
          <t>月額</t>
        </is>
      </c>
      <c r="F41" s="9" t="inlineStr">
        <is>
          <t>備考・データ源</t>
        </is>
      </c>
    </row>
    <row r="42">
      <c r="A42" s="10" t="inlineStr">
        <is>
          <t>流入</t>
        </is>
      </c>
      <c r="B42" s="10" t="inlineStr">
        <is>
          <t>日記達成</t>
        </is>
      </c>
      <c r="C42" s="12" t="n">
        <v>5000</v>
      </c>
      <c r="D42" s="12" t="n">
        <v>30</v>
      </c>
      <c r="E42" s="13">
        <f>C42*D42</f>
        <v/>
      </c>
      <c r="F42" s="14" t="inlineStr">
        <is>
          <t>支給額×月間達成件数</t>
        </is>
      </c>
    </row>
    <row r="43">
      <c r="A43" s="10" t="inlineStr">
        <is>
          <t>流入</t>
        </is>
      </c>
      <c r="B43" s="10" t="inlineStr">
        <is>
          <t>招待達成</t>
        </is>
      </c>
      <c r="C43" s="12" t="n">
        <v>10000</v>
      </c>
      <c r="D43" s="12" t="n">
        <v>5</v>
      </c>
      <c r="E43" s="13">
        <f>C43*D43</f>
        <v/>
      </c>
      <c r="F43" s="14" t="inlineStr">
        <is>
          <t>支給額×月間達成件数</t>
        </is>
      </c>
    </row>
    <row r="44">
      <c r="A44" s="10" t="inlineStr">
        <is>
          <t>流入</t>
        </is>
      </c>
      <c r="B44" s="10" t="inlineStr">
        <is>
          <t>ブースト達成</t>
        </is>
      </c>
      <c r="C44" s="12" t="n">
        <v>20000</v>
      </c>
      <c r="D44" s="12" t="n">
        <v>3</v>
      </c>
      <c r="E44" s="13">
        <f>C44*D44</f>
        <v/>
      </c>
      <c r="F44" s="14" t="inlineStr">
        <is>
          <t>支給額×月間達成件数</t>
        </is>
      </c>
    </row>
    <row r="45">
      <c r="A45" s="10" t="inlineStr">
        <is>
          <t>流入</t>
        </is>
      </c>
      <c r="B45" s="10" t="inlineStr">
        <is>
          <t>VC在席報酬</t>
        </is>
      </c>
      <c r="C45" s="12" t="n">
        <v>100</v>
      </c>
      <c r="D45" s="12" t="n">
        <v>2000</v>
      </c>
      <c r="E45" s="13">
        <f>C45*D45</f>
        <v/>
      </c>
      <c r="F45" s="14" t="inlineStr">
        <is>
          <t>Gil/時間 × 月間総在席時間(h)</t>
        </is>
      </c>
    </row>
    <row r="46">
      <c r="B46" s="15" t="inlineStr">
        <is>
          <t>小計（Gil流入_その他）</t>
        </is>
      </c>
      <c r="E46" s="16">
        <f>SUM(E42:E45)</f>
        <v/>
      </c>
    </row>
    <row r="48">
      <c r="A48" s="7" t="inlineStr">
        <is>
          <t>Gil シンク：ショップ（手動運用・価格は我々が決める）</t>
        </is>
      </c>
      <c r="B48" s="8" t="n"/>
      <c r="C48" s="8" t="n"/>
      <c r="D48" s="8" t="n"/>
      <c r="E48" s="8" t="n"/>
      <c r="F48" s="8" t="n"/>
    </row>
    <row r="49">
      <c r="A49" s="9" t="inlineStr">
        <is>
          <t>区分</t>
        </is>
      </c>
      <c r="B49" s="9" t="inlineStr">
        <is>
          <t>項目</t>
        </is>
      </c>
      <c r="C49" s="9" t="inlineStr">
        <is>
          <t>単価/給与</t>
        </is>
      </c>
      <c r="D49" s="9" t="inlineStr">
        <is>
          <t>人数/件数/量</t>
        </is>
      </c>
      <c r="E49" s="9" t="inlineStr">
        <is>
          <t>月額</t>
        </is>
      </c>
      <c r="F49" s="9" t="inlineStr">
        <is>
          <t>備考・データ源</t>
        </is>
      </c>
    </row>
    <row r="50">
      <c r="A50" s="10" t="inlineStr">
        <is>
          <t>ショップ</t>
        </is>
      </c>
      <c r="B50" s="10" t="inlineStr">
        <is>
          <t>名前変更</t>
        </is>
      </c>
      <c r="C50" s="11" t="n">
        <v>30000</v>
      </c>
      <c r="D50" s="12" t="n">
        <v>5</v>
      </c>
      <c r="E50" s="13">
        <f>C50*D50</f>
        <v/>
      </c>
      <c r="F50" s="14" t="inlineStr">
        <is>
          <t>価格=我々が決定</t>
        </is>
      </c>
    </row>
    <row r="51">
      <c r="A51" s="10" t="inlineStr">
        <is>
          <t>ショップ</t>
        </is>
      </c>
      <c r="B51" s="10" t="inlineStr">
        <is>
          <t>荒野通行証</t>
        </is>
      </c>
      <c r="C51" s="11" t="n">
        <v>50000</v>
      </c>
      <c r="D51" s="12" t="n">
        <v>8</v>
      </c>
      <c r="E51" s="13">
        <f>C51*D51</f>
        <v/>
      </c>
      <c r="F51" s="14" t="inlineStr">
        <is>
          <t>価格=我々が決定</t>
        </is>
      </c>
    </row>
    <row r="52">
      <c r="A52" s="10" t="inlineStr">
        <is>
          <t>ショップ</t>
        </is>
      </c>
      <c r="B52" s="10" t="inlineStr">
        <is>
          <t>監獄通行証</t>
        </is>
      </c>
      <c r="C52" s="11" t="n">
        <v>50000</v>
      </c>
      <c r="D52" s="12" t="n">
        <v>4</v>
      </c>
      <c r="E52" s="13">
        <f>C52*D52</f>
        <v/>
      </c>
      <c r="F52" s="14" t="inlineStr">
        <is>
          <t>価格=我々が決定</t>
        </is>
      </c>
    </row>
    <row r="53">
      <c r="A53" s="10" t="inlineStr">
        <is>
          <t>ショップ</t>
        </is>
      </c>
      <c r="B53" s="10" t="inlineStr">
        <is>
          <t>ステージ利用者証</t>
        </is>
      </c>
      <c r="C53" s="11" t="n">
        <v>30000</v>
      </c>
      <c r="D53" s="12" t="n">
        <v>3</v>
      </c>
      <c r="E53" s="13">
        <f>C53*D53</f>
        <v/>
      </c>
      <c r="F53" s="14" t="inlineStr">
        <is>
          <t>価格=我々が決定</t>
        </is>
      </c>
    </row>
    <row r="54">
      <c r="A54" s="10" t="inlineStr">
        <is>
          <t>ショップ</t>
        </is>
      </c>
      <c r="B54" s="10" t="inlineStr">
        <is>
          <t>Sub垢導入</t>
        </is>
      </c>
      <c r="C54" s="11" t="n">
        <v>100000</v>
      </c>
      <c r="D54" s="12" t="n">
        <v>2</v>
      </c>
      <c r="E54" s="13">
        <f>C54*D54</f>
        <v/>
      </c>
      <c r="F54" s="14" t="inlineStr">
        <is>
          <t>価格=我々が決定</t>
        </is>
      </c>
    </row>
    <row r="55">
      <c r="A55" s="10" t="inlineStr">
        <is>
          <t>ショップ</t>
        </is>
      </c>
      <c r="B55" s="10" t="inlineStr">
        <is>
          <t>18禁コンテンツロール</t>
        </is>
      </c>
      <c r="C55" s="11" t="n">
        <v>50000</v>
      </c>
      <c r="D55" s="12" t="n">
        <v>2</v>
      </c>
      <c r="E55" s="13">
        <f>C55*D55</f>
        <v/>
      </c>
      <c r="F55" s="14" t="inlineStr">
        <is>
          <t>価格=我々が決定</t>
        </is>
      </c>
    </row>
    <row r="56">
      <c r="A56" s="10" t="inlineStr">
        <is>
          <t>ショップ</t>
        </is>
      </c>
      <c r="B56" s="10" t="inlineStr">
        <is>
          <t>宿代(2人VC)</t>
        </is>
      </c>
      <c r="C56" s="11" t="n">
        <v>5000</v>
      </c>
      <c r="D56" s="12" t="n">
        <v>10</v>
      </c>
      <c r="E56" s="13">
        <f>C56*D56</f>
        <v/>
      </c>
      <c r="F56" s="14" t="inlineStr">
        <is>
          <t>価格=我々が決定</t>
        </is>
      </c>
    </row>
    <row r="57">
      <c r="B57" s="15" t="inlineStr">
        <is>
          <t>小計（Gilシンク_ショップ）</t>
        </is>
      </c>
      <c r="E57" s="16">
        <f>SUM(E50:E56)</f>
        <v/>
      </c>
    </row>
    <row r="59">
      <c r="A59" s="7" t="inlineStr">
        <is>
          <t>為替レバー（二通貨を繋ぐパイプ）</t>
        </is>
      </c>
      <c r="B59" s="8" t="n"/>
      <c r="C59" s="8" t="n"/>
      <c r="D59" s="8" t="n"/>
      <c r="E59" s="8" t="n"/>
      <c r="F59" s="8" t="n"/>
    </row>
    <row r="60">
      <c r="A60" s="15" t="inlineStr">
        <is>
          <t>レバー</t>
        </is>
      </c>
      <c r="B60" s="15" t="inlineStr">
        <is>
          <t>項目</t>
        </is>
      </c>
      <c r="C60" s="15" t="inlineStr">
        <is>
          <t>値</t>
        </is>
      </c>
    </row>
    <row r="61">
      <c r="B61" s="2" t="inlineStr">
        <is>
          <t>為替レート R（1エテル=何Gil）</t>
        </is>
      </c>
      <c r="C61" s="17" t="n">
        <v>10</v>
      </c>
      <c r="F61" s="18" t="inlineStr">
        <is>
          <t>我々が決定。Gil÷エテルの交換比</t>
        </is>
      </c>
    </row>
    <row r="62">
      <c r="B62" s="2" t="inlineStr">
        <is>
          <t>還光率 h（エテル→Gil 出口の目減り）</t>
        </is>
      </c>
      <c r="C62" s="19" t="n">
        <v>0.2</v>
      </c>
      <c r="F62" s="18" t="inlineStr">
        <is>
          <t>現状20%。半分JP/半分救済</t>
        </is>
      </c>
    </row>
    <row r="63">
      <c r="B63" s="2" t="inlineStr">
        <is>
          <t>Gil→エテル 両替量 / 月（Gil）</t>
        </is>
      </c>
      <c r="C63" s="20" t="n">
        <v>0</v>
      </c>
      <c r="F63" s="18" t="inlineStr">
        <is>
          <t>接続後に実績。Gilは消滅</t>
        </is>
      </c>
    </row>
    <row r="64">
      <c r="B64" s="2" t="inlineStr">
        <is>
          <t>エテル→Gil 換金量 / 月（エテル）</t>
        </is>
      </c>
      <c r="C64" s="20" t="n">
        <v>0</v>
      </c>
      <c r="F64" s="18" t="inlineStr">
        <is>
          <t>接続後に実績</t>
        </is>
      </c>
    </row>
    <row r="66">
      <c r="A66" s="7" t="inlineStr">
        <is>
          <t>カジノ行動前提（エテル経済の駆動・launch後データ待ち＝仮値）</t>
        </is>
      </c>
      <c r="B66" s="8" t="n"/>
      <c r="C66" s="8" t="n"/>
      <c r="D66" s="8" t="n"/>
      <c r="E66" s="8" t="n"/>
      <c r="F66" s="8" t="n"/>
    </row>
    <row r="67">
      <c r="A67" s="15" t="inlineStr">
        <is>
          <t>前提</t>
        </is>
      </c>
      <c r="B67" s="15" t="inlineStr">
        <is>
          <t>項目</t>
        </is>
      </c>
      <c r="C67" s="15" t="inlineStr">
        <is>
          <t>値</t>
        </is>
      </c>
    </row>
    <row r="68">
      <c r="B68" s="2" t="inlineStr">
        <is>
          <t>アクティブ人数</t>
        </is>
      </c>
      <c r="C68" s="21" t="n">
        <v>30</v>
      </c>
      <c r="F68" s="18" t="inlineStr">
        <is>
          <t>エテルを動かす人数(仮)</t>
        </is>
      </c>
    </row>
    <row r="69">
      <c r="B69" s="2" t="inlineStr">
        <is>
          <t>1人あたり 月間プレイ回数</t>
        </is>
      </c>
      <c r="C69" s="21" t="n">
        <v>200</v>
      </c>
      <c r="F69" s="18" t="inlineStr">
        <is>
          <t>仮</t>
        </is>
      </c>
    </row>
    <row r="70">
      <c r="B70" s="2" t="inlineStr">
        <is>
          <t>平均ベット額（エテル）</t>
        </is>
      </c>
      <c r="C70" s="17" t="n">
        <v>500</v>
      </c>
      <c r="F70" s="18" t="inlineStr">
        <is>
          <t>仮</t>
        </is>
      </c>
    </row>
    <row r="71">
      <c r="B71" s="2" t="inlineStr">
        <is>
          <t>実効ハウスエッジ</t>
        </is>
      </c>
      <c r="C71" s="19" t="n">
        <v>0.05</v>
      </c>
      <c r="F71" s="18" t="inlineStr">
        <is>
          <t>4〜5%±2%。economy.ts</t>
        </is>
      </c>
    </row>
    <row r="72">
      <c r="B72" s="2" t="inlineStr">
        <is>
          <t>福分け 1人1日 平均（エテル）</t>
        </is>
      </c>
      <c r="C72" s="17" t="n">
        <v>200</v>
      </c>
      <c r="F72" s="18" t="inlineStr">
        <is>
          <t>300/225/150/100の加重(仮)</t>
        </is>
      </c>
    </row>
    <row r="73">
      <c r="B73" s="2" t="inlineStr">
        <is>
          <t>月日数</t>
        </is>
      </c>
      <c r="C73" s="21" t="n">
        <v>30</v>
      </c>
      <c r="F73" s="18" t="inlineStr">
        <is>
          <t>月→日換算</t>
        </is>
      </c>
    </row>
    <row r="75">
      <c r="A75" s="7" t="inlineStr">
        <is>
          <t>カジノ内パラメータ（参考・ハウス吸収の行先など）</t>
        </is>
      </c>
      <c r="B75" s="8" t="n"/>
      <c r="C75" s="8" t="n"/>
      <c r="D75" s="8" t="n"/>
      <c r="E75" s="8" t="n"/>
      <c r="F75" s="8" t="n"/>
    </row>
    <row r="76">
      <c r="A76" s="15" t="inlineStr">
        <is>
          <t>参考</t>
        </is>
      </c>
      <c r="B76" s="15" t="inlineStr">
        <is>
          <t>項目</t>
        </is>
      </c>
      <c r="C76" s="15" t="inlineStr">
        <is>
          <t>値</t>
        </is>
      </c>
    </row>
    <row r="77">
      <c r="B77" s="2" t="inlineStr">
        <is>
          <t>ハウス吸収→消滅 率</t>
        </is>
      </c>
      <c r="C77" s="19" t="n">
        <v>0.5</v>
      </c>
      <c r="F77" s="18" t="inlineStr">
        <is>
          <t>economy.distributeHouseEarnings</t>
        </is>
      </c>
    </row>
    <row r="78">
      <c r="B78" s="2" t="inlineStr">
        <is>
          <t>ハウス吸収→救済 率</t>
        </is>
      </c>
      <c r="C78" s="19" t="n">
        <v>0.3</v>
      </c>
      <c r="F78" s="18" t="inlineStr">
        <is>
          <t>同上</t>
        </is>
      </c>
    </row>
    <row r="79">
      <c r="B79" s="2" t="inlineStr">
        <is>
          <t>ハウス吸収→JP 率</t>
        </is>
      </c>
      <c r="C79" s="19" t="n">
        <v>0.2</v>
      </c>
      <c r="F79" s="18" t="inlineStr">
        <is>
          <t>同上</t>
        </is>
      </c>
    </row>
    <row r="80">
      <c r="B80" s="2" t="inlineStr">
        <is>
          <t>初期残高（エテル）</t>
        </is>
      </c>
      <c r="C80" s="17" t="n">
        <v>3000</v>
      </c>
      <c r="F80" s="18" t="inlineStr">
        <is>
          <t>db.ts</t>
        </is>
      </c>
    </row>
    <row r="81">
      <c r="B81" s="2" t="inlineStr">
        <is>
          <t>残高上限（エテル）</t>
        </is>
      </c>
      <c r="C81" s="17" t="n">
        <v>300000</v>
      </c>
      <c r="F81" s="18" t="inlineStr">
        <is>
          <t>db.ts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>
      <c r="A1" s="1" t="inlineStr">
        <is>
          <t>Gil経済（月次フロー）</t>
        </is>
      </c>
    </row>
    <row r="3">
      <c r="A3" s="3" t="inlineStr">
        <is>
          <t>◆ Gil 流入（mint / 月）</t>
        </is>
      </c>
    </row>
    <row r="4">
      <c r="A4" s="2" t="inlineStr">
        <is>
          <t>給与・階級</t>
        </is>
      </c>
      <c r="B4" s="22">
        <f>SUM('前提・レバー'!$E$6:$E$9)</f>
        <v/>
      </c>
      <c r="C4" s="18" t="inlineStr">
        <is>
          <t>Σ 人数×給与</t>
        </is>
      </c>
    </row>
    <row r="5">
      <c r="A5" s="2" t="inlineStr">
        <is>
          <t>給与・役職</t>
        </is>
      </c>
      <c r="B5" s="22">
        <f>SUM('前提・レバー'!$E$14:$E$29)</f>
        <v/>
      </c>
      <c r="C5" s="18" t="inlineStr">
        <is>
          <t>重複可・固定分</t>
        </is>
      </c>
    </row>
    <row r="6">
      <c r="A6" s="2" t="inlineStr">
        <is>
          <t>給与・運営(Secret)</t>
        </is>
      </c>
      <c r="B6" s="22">
        <f>SUM('前提・レバー'!$E$34:$E$37)</f>
        <v/>
      </c>
      <c r="C6" s="18" t="inlineStr">
        <is>
          <t>要Gill</t>
        </is>
      </c>
    </row>
    <row r="7">
      <c r="A7" s="2" t="inlineStr">
        <is>
          <t>日記/招待/ブースト/VC</t>
        </is>
      </c>
      <c r="B7" s="22">
        <f>SUM('前提・レバー'!$E$42:$E$45)</f>
        <v/>
      </c>
      <c r="C7" s="18" t="inlineStr">
        <is>
          <t>Gill運用</t>
        </is>
      </c>
    </row>
    <row r="8">
      <c r="A8" s="23" t="inlineStr">
        <is>
          <t>Gil mint 合計 / 月</t>
        </is>
      </c>
      <c r="B8" s="16">
        <f>SUM(B4:B7)</f>
        <v/>
      </c>
    </row>
    <row r="10">
      <c r="A10" s="3" t="inlineStr">
        <is>
          <t>◆ Gil シンク（sink / 月）</t>
        </is>
      </c>
    </row>
    <row r="11">
      <c r="A11" s="2" t="inlineStr">
        <is>
          <t>ショップ購入（手動）</t>
        </is>
      </c>
      <c r="B11" s="22">
        <f>SUM('前提・レバー'!$E$50:$E$56)</f>
        <v/>
      </c>
      <c r="C11" s="18" t="inlineStr">
        <is>
          <t>価格=我々</t>
        </is>
      </c>
    </row>
    <row r="12">
      <c r="A12" s="2" t="inlineStr">
        <is>
          <t>カジノ両替 Gil→エテル（消滅）</t>
        </is>
      </c>
      <c r="B12" s="22">
        <f>'前提・レバー'!$C$63</f>
        <v/>
      </c>
      <c r="C12" s="18" t="inlineStr">
        <is>
          <t>Gilは消滅</t>
        </is>
      </c>
    </row>
    <row r="13">
      <c r="A13" s="23" t="inlineStr">
        <is>
          <t>Gil sink 合計 / 月</t>
        </is>
      </c>
      <c r="B13" s="16">
        <f>B11+B12</f>
        <v/>
      </c>
    </row>
    <row r="15">
      <c r="A15" s="3" t="inlineStr">
        <is>
          <t>◆ カジノからの戻り（mint側）</t>
        </is>
      </c>
    </row>
    <row r="16">
      <c r="A16" s="2" t="inlineStr">
        <is>
          <t>エテル→Gil 換金で戻るGil</t>
        </is>
      </c>
      <c r="B16" s="22">
        <f>'前提・レバー'!$C$64*(1-'前提・レバー'!$C$62)/'前提・レバー'!$C$61</f>
        <v/>
      </c>
      <c r="C16" s="18" t="inlineStr">
        <is>
          <t>(1-還光)×量÷レート</t>
        </is>
      </c>
    </row>
    <row r="18">
      <c r="A18" s="3" t="inlineStr">
        <is>
          <t>◆ 収支</t>
        </is>
      </c>
    </row>
    <row r="19">
      <c r="A19" s="24" t="inlineStr">
        <is>
          <t>Gil 純増 / 月</t>
        </is>
      </c>
      <c r="B19" s="25">
        <f>B8+B16-B13</f>
        <v/>
      </c>
      <c r="C19" s="18" t="inlineStr">
        <is>
          <t>mint+戻り−sink</t>
        </is>
      </c>
    </row>
    <row r="20">
      <c r="A20" s="15" t="inlineStr">
        <is>
          <t>カジノ純吸収（Gil）</t>
        </is>
      </c>
      <c r="B20" s="26">
        <f>B12-B16</f>
        <v/>
      </c>
      <c r="C20" s="18" t="inlineStr">
        <is>
          <t>両替流入−戻り</t>
        </is>
      </c>
    </row>
    <row r="21">
      <c r="A21" s="15" t="inlineStr">
        <is>
          <t>カジノ吸収率（対Gil mint）</t>
        </is>
      </c>
      <c r="B21" s="27">
        <f>IF(B8=0,0,B20/B8)</f>
        <v/>
      </c>
      <c r="C21" s="18" t="inlineStr">
        <is>
          <t>カジノがGil mintの何%を吸うか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2" customWidth="1" min="3" max="3"/>
  </cols>
  <sheetData>
    <row r="1">
      <c r="A1" s="1" t="inlineStr">
        <is>
          <t>エテル経済（月次フロー・◈）</t>
        </is>
      </c>
    </row>
    <row r="3">
      <c r="A3" s="3" t="inlineStr">
        <is>
          <t>◆ 中間計算</t>
        </is>
      </c>
    </row>
    <row r="4">
      <c r="A4" s="2" t="inlineStr">
        <is>
          <t>月間 総ベット額（エテル）</t>
        </is>
      </c>
      <c r="B4" s="22">
        <f>'前提・レバー'!$C$68*'前提・レバー'!$C$69*'前提・レバー'!$C$70</f>
        <v/>
      </c>
      <c r="C4" s="18" t="inlineStr">
        <is>
          <t>人数×回数×平均ベット</t>
        </is>
      </c>
    </row>
    <row r="5">
      <c r="A5" s="2" t="inlineStr">
        <is>
          <t>ハウス吸収額（エテル）</t>
        </is>
      </c>
      <c r="B5" s="22">
        <f>B4*'前提・レバー'!$C$71</f>
        <v/>
      </c>
      <c r="C5" s="18" t="inlineStr">
        <is>
          <t>総ベット×エッジ</t>
        </is>
      </c>
    </row>
    <row r="6">
      <c r="A6" s="2" t="inlineStr">
        <is>
          <t>福分け mint（エテル）</t>
        </is>
      </c>
      <c r="B6" s="22">
        <f>'前提・レバー'!$C$68*'前提・レバー'!$C$72*'前提・レバー'!$C$73</f>
        <v/>
      </c>
      <c r="C6" s="18" t="inlineStr">
        <is>
          <t>人数×日額×日数</t>
        </is>
      </c>
    </row>
    <row r="8">
      <c r="A8" s="3" t="inlineStr">
        <is>
          <t>◆ エテル mint（発行 / 月）</t>
        </is>
      </c>
    </row>
    <row r="9">
      <c r="A9" s="2" t="inlineStr">
        <is>
          <t>福分け（daily）</t>
        </is>
      </c>
      <c r="B9" s="28">
        <f>B6</f>
        <v/>
      </c>
    </row>
    <row r="10">
      <c r="A10" s="2" t="inlineStr">
        <is>
          <t>Gil→エテル 両替で発行</t>
        </is>
      </c>
      <c r="B10" s="22">
        <f>'前提・レバー'!$C$63/'前提・レバー'!$C$61</f>
        <v/>
      </c>
      <c r="C10" s="18" t="inlineStr">
        <is>
          <t>両替Gil÷レート</t>
        </is>
      </c>
    </row>
    <row r="11">
      <c r="A11" s="23" t="inlineStr">
        <is>
          <t>エテル mint 合計 / 月</t>
        </is>
      </c>
      <c r="B11" s="16">
        <f>B9+B10</f>
        <v/>
      </c>
    </row>
    <row r="13">
      <c r="A13" s="3" t="inlineStr">
        <is>
          <t>◆ エテル シンク（消滅 / 月）</t>
        </is>
      </c>
    </row>
    <row r="14">
      <c r="A14" s="2" t="inlineStr">
        <is>
          <t>ハウス吸収の50%消滅</t>
        </is>
      </c>
      <c r="B14" s="22">
        <f>B5*'前提・レバー'!$C$77</f>
        <v/>
      </c>
      <c r="C14" s="18" t="inlineStr">
        <is>
          <t>残り50%はプールへ(供給内)</t>
        </is>
      </c>
    </row>
    <row r="15">
      <c r="A15" s="2" t="inlineStr">
        <is>
          <t>エテル→Gil 換金で消滅</t>
        </is>
      </c>
      <c r="B15" s="22">
        <f>'前提・レバー'!$C$64*(1-'前提・レバー'!$C$62)</f>
        <v/>
      </c>
      <c r="C15" s="18" t="inlineStr">
        <is>
          <t>(1-還光)分がGil化し消滅</t>
        </is>
      </c>
    </row>
    <row r="16">
      <c r="A16" s="23" t="inlineStr">
        <is>
          <t>エテル sink 合計 / 月</t>
        </is>
      </c>
      <c r="B16" s="16">
        <f>B14+B15</f>
        <v/>
      </c>
      <c r="C16" s="18" t="inlineStr">
        <is>
          <t>景品/累進奉納は別途</t>
        </is>
      </c>
    </row>
    <row r="18">
      <c r="A18" s="3" t="inlineStr">
        <is>
          <t>◆ 収支</t>
        </is>
      </c>
    </row>
    <row r="19">
      <c r="A19" s="24" t="inlineStr">
        <is>
          <t>エテル 純増 / 月</t>
        </is>
      </c>
      <c r="B19" s="25">
        <f>B11-B16</f>
        <v/>
      </c>
      <c r="C19" s="18" t="inlineStr">
        <is>
          <t>mint−sink</t>
        </is>
      </c>
    </row>
    <row r="20">
      <c r="A20" s="2" t="inlineStr">
        <is>
          <t>プール流入（救済30%+JP20%）</t>
        </is>
      </c>
      <c r="B20" s="22">
        <f>B5*('前提・レバー'!$C$78+'前提・レバー'!$C$79)</f>
        <v/>
      </c>
      <c r="C20" s="18" t="inlineStr">
        <is>
          <t>供給内で循環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見通し（12ヶ月・月次純増を一定と仮定した投影）</t>
        </is>
      </c>
    </row>
    <row r="2">
      <c r="A2" s="6" t="inlineStr">
        <is>
          <t>開始供給は青字で入力。月次純増は各経済シートから参照（簡易：一定）。</t>
        </is>
      </c>
    </row>
    <row r="4">
      <c r="A4" s="15" t="inlineStr">
        <is>
          <t>Gil 開始供給</t>
        </is>
      </c>
      <c r="B4" s="17" t="n">
        <v>5000000</v>
      </c>
      <c r="C4" s="29" t="inlineStr">
        <is>
          <t>← 要Gill（現Gil総供給）</t>
        </is>
      </c>
    </row>
    <row r="5">
      <c r="A5" s="15" t="inlineStr">
        <is>
          <t>エテル 開始供給</t>
        </is>
      </c>
      <c r="B5" s="17" t="n">
        <v>90000</v>
      </c>
      <c r="C5" s="18" t="inlineStr">
        <is>
          <t>← Bot監視の現エテル総供給</t>
        </is>
      </c>
    </row>
    <row r="7">
      <c r="A7" s="9" t="inlineStr">
        <is>
          <t>月</t>
        </is>
      </c>
      <c r="B7" s="9" t="inlineStr">
        <is>
          <t>M0</t>
        </is>
      </c>
      <c r="C7" s="9" t="inlineStr">
        <is>
          <t>M1</t>
        </is>
      </c>
      <c r="D7" s="9" t="inlineStr">
        <is>
          <t>M2</t>
        </is>
      </c>
      <c r="E7" s="9" t="inlineStr">
        <is>
          <t>M3</t>
        </is>
      </c>
      <c r="F7" s="9" t="inlineStr">
        <is>
          <t>M4</t>
        </is>
      </c>
      <c r="G7" s="9" t="inlineStr">
        <is>
          <t>M5</t>
        </is>
      </c>
      <c r="H7" s="9" t="inlineStr">
        <is>
          <t>M6</t>
        </is>
      </c>
      <c r="I7" s="9" t="inlineStr">
        <is>
          <t>M7</t>
        </is>
      </c>
      <c r="J7" s="9" t="inlineStr">
        <is>
          <t>M8</t>
        </is>
      </c>
      <c r="K7" s="9" t="inlineStr">
        <is>
          <t>M9</t>
        </is>
      </c>
      <c r="L7" s="9" t="inlineStr">
        <is>
          <t>M10</t>
        </is>
      </c>
      <c r="M7" s="9" t="inlineStr">
        <is>
          <t>M11</t>
        </is>
      </c>
      <c r="N7" s="9" t="inlineStr">
        <is>
          <t>M12</t>
        </is>
      </c>
    </row>
    <row r="8">
      <c r="A8" s="15" t="inlineStr">
        <is>
          <t>Gil 供給</t>
        </is>
      </c>
      <c r="B8" s="28">
        <f>$B$4</f>
        <v/>
      </c>
      <c r="C8" s="28">
        <f>B8+'Gil経済'!$B$19</f>
        <v/>
      </c>
      <c r="D8" s="28">
        <f>C8+'Gil経済'!$B$19</f>
        <v/>
      </c>
      <c r="E8" s="28">
        <f>D8+'Gil経済'!$B$19</f>
        <v/>
      </c>
      <c r="F8" s="28">
        <f>E8+'Gil経済'!$B$19</f>
        <v/>
      </c>
      <c r="G8" s="28">
        <f>F8+'Gil経済'!$B$19</f>
        <v/>
      </c>
      <c r="H8" s="28">
        <f>G8+'Gil経済'!$B$19</f>
        <v/>
      </c>
      <c r="I8" s="28">
        <f>H8+'Gil経済'!$B$19</f>
        <v/>
      </c>
      <c r="J8" s="28">
        <f>I8+'Gil経済'!$B$19</f>
        <v/>
      </c>
      <c r="K8" s="28">
        <f>J8+'Gil経済'!$B$19</f>
        <v/>
      </c>
      <c r="L8" s="28">
        <f>K8+'Gil経済'!$B$19</f>
        <v/>
      </c>
      <c r="M8" s="28">
        <f>L8+'Gil経済'!$B$19</f>
        <v/>
      </c>
      <c r="N8" s="28">
        <f>M8+'Gil経済'!$B$19</f>
        <v/>
      </c>
    </row>
    <row r="9">
      <c r="A9" s="15" t="inlineStr">
        <is>
          <t>エテル 供給</t>
        </is>
      </c>
      <c r="B9" s="28">
        <f>$B$5</f>
        <v/>
      </c>
      <c r="C9" s="28">
        <f>B9+'エテル経済'!$B$19</f>
        <v/>
      </c>
      <c r="D9" s="28">
        <f>C9+'エテル経済'!$B$19</f>
        <v/>
      </c>
      <c r="E9" s="28">
        <f>D9+'エテル経済'!$B$19</f>
        <v/>
      </c>
      <c r="F9" s="28">
        <f>E9+'エテル経済'!$B$19</f>
        <v/>
      </c>
      <c r="G9" s="28">
        <f>F9+'エテル経済'!$B$19</f>
        <v/>
      </c>
      <c r="H9" s="28">
        <f>G9+'エテル経済'!$B$19</f>
        <v/>
      </c>
      <c r="I9" s="28">
        <f>H9+'エテル経済'!$B$19</f>
        <v/>
      </c>
      <c r="J9" s="28">
        <f>I9+'エテル経済'!$B$19</f>
        <v/>
      </c>
      <c r="K9" s="28">
        <f>J9+'エテル経済'!$B$19</f>
        <v/>
      </c>
      <c r="L9" s="28">
        <f>K9+'エテル経済'!$B$19</f>
        <v/>
      </c>
      <c r="M9" s="28">
        <f>L9+'エテル経済'!$B$19</f>
        <v/>
      </c>
      <c r="N9" s="28">
        <f>M9+'エテル経済'!$B$19</f>
        <v/>
      </c>
    </row>
    <row r="10">
      <c r="A10" s="15" t="inlineStr">
        <is>
          <t>均衡指標</t>
        </is>
      </c>
      <c r="B10" s="30">
        <f>IF('Gil経済'!$B$19&gt;0,"Gil増（吸収不足/インフレ寄り）",IF('Gil経済'!$B$19&lt;0,"Gil減（吸いすぎ/デフレ寄り）","均衡"))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</cols>
  <sheetData>
    <row r="1">
      <c r="A1" s="1" t="inlineStr">
        <is>
          <t>ダッシュボード（要点）</t>
        </is>
      </c>
    </row>
    <row r="3">
      <c r="A3" s="9" t="inlineStr">
        <is>
          <t>指標</t>
        </is>
      </c>
      <c r="B3" s="9" t="inlineStr">
        <is>
          <t>値</t>
        </is>
      </c>
      <c r="C3" s="9" t="inlineStr">
        <is>
          <t>意味</t>
        </is>
      </c>
    </row>
    <row r="4">
      <c r="A4" s="31" t="inlineStr">
        <is>
          <t>Gil mint 合計 / 月</t>
        </is>
      </c>
      <c r="B4" s="32">
        <f>'Gil経済'!$B$8</f>
        <v/>
      </c>
      <c r="C4" s="14" t="inlineStr">
        <is>
          <t>サーバーが月に刷るGil</t>
        </is>
      </c>
    </row>
    <row r="5">
      <c r="A5" s="31" t="inlineStr">
        <is>
          <t>Gil 純増 / 月</t>
        </is>
      </c>
      <c r="B5" s="32">
        <f>'Gil経済'!$B$19</f>
        <v/>
      </c>
      <c r="C5" s="14" t="inlineStr">
        <is>
          <t>＞0=インフレ寄り / ＜0=デフレ寄り</t>
        </is>
      </c>
    </row>
    <row r="6">
      <c r="A6" s="31" t="inlineStr">
        <is>
          <t>カジノ純吸収（Gil）</t>
        </is>
      </c>
      <c r="B6" s="32">
        <f>'Gil経済'!$B$20</f>
        <v/>
      </c>
      <c r="C6" s="14" t="inlineStr">
        <is>
          <t>カジノが吸うGil</t>
        </is>
      </c>
    </row>
    <row r="7">
      <c r="A7" s="31" t="inlineStr">
        <is>
          <t>カジノ吸収率（対Gil mint）</t>
        </is>
      </c>
      <c r="B7" s="33">
        <f>IF('Gil経済'!$B$8=0,0,'Gil経済'!$B$20/'Gil経済'!$B$8)</f>
        <v/>
      </c>
      <c r="C7" s="14" t="inlineStr">
        <is>
          <t>目標値を別途決める</t>
        </is>
      </c>
    </row>
    <row r="8">
      <c r="A8" s="31" t="inlineStr">
        <is>
          <t>エテル mint 合計 / 月</t>
        </is>
      </c>
      <c r="B8" s="32">
        <f>'エテル経済'!$B$11</f>
        <v/>
      </c>
      <c r="C8" s="14" t="inlineStr">
        <is>
          <t>カジノ内発行</t>
        </is>
      </c>
    </row>
    <row r="9">
      <c r="A9" s="31" t="inlineStr">
        <is>
          <t>エテル 純増 / 月</t>
        </is>
      </c>
      <c r="B9" s="32">
        <f>'エテル経済'!$B$19</f>
        <v/>
      </c>
      <c r="C9" s="14" t="inlineStr">
        <is>
          <t>＞0=エテル増</t>
        </is>
      </c>
    </row>
    <row r="10">
      <c r="A10" s="31" t="inlineStr">
        <is>
          <t>為替レート R</t>
        </is>
      </c>
      <c r="B10" s="32">
        <f>'前提・レバー'!$C$61</f>
        <v/>
      </c>
      <c r="C10" s="14" t="inlineStr">
        <is>
          <t>1エテル=?Gil（レバー）</t>
        </is>
      </c>
    </row>
    <row r="11">
      <c r="A11" s="31" t="inlineStr">
        <is>
          <t>還光率 h</t>
        </is>
      </c>
      <c r="B11" s="33">
        <f>'前提・レバー'!$C$62</f>
        <v/>
      </c>
      <c r="C11" s="14" t="inlineStr">
        <is>
          <t>レバー</t>
        </is>
      </c>
    </row>
    <row r="13">
      <c r="A13" s="3" t="inlineStr">
        <is>
          <t>■ 次に確定したいレバー</t>
        </is>
      </c>
    </row>
    <row r="14">
      <c r="A14" s="2" t="inlineStr">
        <is>
          <t>・為替レート R（接続後の本丸）</t>
        </is>
      </c>
    </row>
    <row r="15">
      <c r="A15" s="2" t="inlineStr">
        <is>
          <t>・ショップ各価格（Gilシンクの主力）</t>
        </is>
      </c>
    </row>
    <row r="16">
      <c r="A16" s="2" t="inlineStr">
        <is>
          <t>・VC在席レート（Gill側だが我々が最適化提案）</t>
        </is>
      </c>
    </row>
    <row r="17">
      <c r="A17" s="2" t="inlineStr">
        <is>
          <t>・カジノ吸収率の目標%（経済設計の北極星）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2026-06-02T14:28:47Z</dcterms:created>
  <dcterms:modified xsi:type="dcterms:W3CDTF">2026-06-02T14:28:47Z</dcterms:modified>
</cp:coreProperties>
</file>